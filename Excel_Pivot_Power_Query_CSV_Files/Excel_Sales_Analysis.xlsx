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SI\Desktop\AI Customer Churn Prediction\Dataset\"/>
    </mc:Choice>
  </mc:AlternateContent>
  <xr:revisionPtr revIDLastSave="0" documentId="8_{C9590FB0-E8F5-4A9A-907C-BE6C6EBAE989}" xr6:coauthVersionLast="47" xr6:coauthVersionMax="47" xr10:uidLastSave="{00000000-0000-0000-0000-000000000000}"/>
  <bookViews>
    <workbookView xWindow="-108" yWindow="-108" windowWidth="23256" windowHeight="12456" activeTab="1" xr2:uid="{E180F398-E11B-4B93-9CE0-D244AD86CC2D}"/>
  </bookViews>
  <sheets>
    <sheet name="Revenue Pivot" sheetId="3" r:id="rId1"/>
    <sheet name="KPI Summary" sheetId="4" r:id="rId2"/>
    <sheet name="SalesData" sheetId="2" r:id="rId3"/>
  </sheets>
  <definedNames>
    <definedName name="ExternalData_1" localSheetId="2" hidden="1">SalesData!$A$1:$I$21</definedName>
    <definedName name="Slicer_product">#N/A</definedName>
    <definedName name="Slicer_quarter">#N/A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4" l="1"/>
  <c r="C7" i="4"/>
  <c r="C6" i="4"/>
  <c r="C5" i="4"/>
  <c r="C4" i="4"/>
  <c r="C3" i="4"/>
  <c r="L2" i="2"/>
  <c r="L3" i="2"/>
  <c r="L4" i="2"/>
  <c r="L5" i="2"/>
  <c r="L6" i="2"/>
  <c r="L7" i="2"/>
  <c r="L8" i="2"/>
  <c r="L9" i="2"/>
  <c r="L10" i="2"/>
  <c r="L11" i="2"/>
  <c r="L12" i="2"/>
  <c r="L13" i="2"/>
  <c r="L14" i="2"/>
  <c r="L15" i="2"/>
  <c r="L16" i="2"/>
  <c r="L17" i="2"/>
  <c r="L18" i="2"/>
  <c r="L19" i="2"/>
  <c r="L20" i="2"/>
  <c r="L21" i="2"/>
  <c r="K6" i="2"/>
  <c r="K7" i="2"/>
  <c r="K8" i="2"/>
  <c r="K9" i="2"/>
  <c r="K14" i="2"/>
  <c r="K15" i="2"/>
  <c r="K16" i="2"/>
  <c r="K17" i="2"/>
  <c r="J2" i="2"/>
  <c r="K2" i="2" s="1"/>
  <c r="J3" i="2"/>
  <c r="K3" i="2" s="1"/>
  <c r="J4" i="2"/>
  <c r="K4" i="2" s="1"/>
  <c r="J5" i="2"/>
  <c r="K5" i="2" s="1"/>
  <c r="J6" i="2"/>
  <c r="J7" i="2"/>
  <c r="J8" i="2"/>
  <c r="J9" i="2"/>
  <c r="J10" i="2"/>
  <c r="K10" i="2" s="1"/>
  <c r="J11" i="2"/>
  <c r="K11" i="2" s="1"/>
  <c r="J12" i="2"/>
  <c r="K12" i="2" s="1"/>
  <c r="J13" i="2"/>
  <c r="K13" i="2" s="1"/>
  <c r="J14" i="2"/>
  <c r="J15" i="2"/>
  <c r="J16" i="2"/>
  <c r="J17" i="2"/>
  <c r="J18" i="2"/>
  <c r="K18" i="2" s="1"/>
  <c r="J19" i="2"/>
  <c r="K19" i="2" s="1"/>
  <c r="J20" i="2"/>
  <c r="K20" i="2" s="1"/>
  <c r="J21" i="2"/>
  <c r="K2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54489-F0DC-4D4C-97E2-1485FECE61B7}" keepAlive="1" name="Query - Excel_Pivot_Power_Query_CSV_Files" description="Connection to the 'Excel_Pivot_Power_Query_CSV_Files' query in the workbook." type="5" refreshedVersion="8" background="1" saveData="1">
    <dbPr connection="Provider=Microsoft.Mashup.OleDb.1;Data Source=$Workbook$;Location=Excel_Pivot_Power_Query_CSV_Files;Extended Properties=&quot;&quot;" command="SELECT * FROM [Excel_Pivot_Power_Query_CSV_Files]"/>
  </connection>
  <connection id="2" xr16:uid="{75C893BC-AF5B-4DBE-9C27-EA41A4D4CC9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7302EEC-AB59-4321-9216-5F7F77E4E0B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C025E0AC-3740-47A8-8CC4-E40F646C137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3A6C7FE-C59B-4E76-81FC-EA435E09D17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<sst xmlns="http://schemas.openxmlformats.org/spreadsheetml/2006/main" count="150" uniqueCount="66">
  <si>
    <t>Source.Name</t>
  </si>
  <si>
    <t>order_id</t>
  </si>
  <si>
    <t>customer</t>
  </si>
  <si>
    <t>region</t>
  </si>
  <si>
    <t>product</t>
  </si>
  <si>
    <t>quantity</t>
  </si>
  <si>
    <t>revenue</t>
  </si>
  <si>
    <t>cost</t>
  </si>
  <si>
    <t>order_date</t>
  </si>
  <si>
    <t>sales_q1.csv</t>
  </si>
  <si>
    <t>Rahul</t>
  </si>
  <si>
    <t>South</t>
  </si>
  <si>
    <t>Laptop</t>
  </si>
  <si>
    <t>Priya</t>
  </si>
  <si>
    <t>North</t>
  </si>
  <si>
    <t>Chair</t>
  </si>
  <si>
    <t>Amit</t>
  </si>
  <si>
    <t>Mouse</t>
  </si>
  <si>
    <t>Neha</t>
  </si>
  <si>
    <t>East</t>
  </si>
  <si>
    <t>Shirt</t>
  </si>
  <si>
    <t>Ravi</t>
  </si>
  <si>
    <t>West</t>
  </si>
  <si>
    <t>Table</t>
  </si>
  <si>
    <t>sales_q2.csv</t>
  </si>
  <si>
    <t>Anu</t>
  </si>
  <si>
    <t>Phone</t>
  </si>
  <si>
    <t>Kiran</t>
  </si>
  <si>
    <t>Jeans</t>
  </si>
  <si>
    <t>Meena</t>
  </si>
  <si>
    <t>Arjun</t>
  </si>
  <si>
    <t>Sneha</t>
  </si>
  <si>
    <t>sales_q3.csv</t>
  </si>
  <si>
    <t>sales_q4.csv</t>
  </si>
  <si>
    <t>Margin</t>
  </si>
  <si>
    <t>margin_%</t>
  </si>
  <si>
    <t>quarter</t>
  </si>
  <si>
    <t>Row Labels</t>
  </si>
  <si>
    <t>Grand Total</t>
  </si>
  <si>
    <t>Column Labels</t>
  </si>
  <si>
    <t>Sum of revenue</t>
  </si>
  <si>
    <t>Q1</t>
  </si>
  <si>
    <t>Q2</t>
  </si>
  <si>
    <t>Q3</t>
  </si>
  <si>
    <t>Q4</t>
  </si>
  <si>
    <t>Total Sum of revenue</t>
  </si>
  <si>
    <t>Total Sum of Margin</t>
  </si>
  <si>
    <t>Sum of Margin</t>
  </si>
  <si>
    <t>Total Growth %</t>
  </si>
  <si>
    <t>Growth %</t>
  </si>
  <si>
    <t>Cell</t>
  </si>
  <si>
    <t>Value</t>
  </si>
  <si>
    <t>A1</t>
  </si>
  <si>
    <t>KPI Summary</t>
  </si>
  <si>
    <t>A3</t>
  </si>
  <si>
    <t>Total Revenue</t>
  </si>
  <si>
    <t>A4</t>
  </si>
  <si>
    <t>Total Cost</t>
  </si>
  <si>
    <t>A5</t>
  </si>
  <si>
    <t>Total Margin</t>
  </si>
  <si>
    <t>A6</t>
  </si>
  <si>
    <t>Margin %</t>
  </si>
  <si>
    <t>A7</t>
  </si>
  <si>
    <t>Total Quantity</t>
  </si>
  <si>
    <t>A8</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</si>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</sst>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12">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[Excel_Sales_Analysis.xlsx]Revenue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Pivot'!$B$3:$B$5</c:f>
              <c:strCache>
                <c:ptCount val="1"/>
                <c:pt idx="0">
                  <c:v>Q1 - Sum of revenue</c:v>
                </c:pt>
              </c:strCache>
            </c:strRef>
          </c:tx>
          <c:spPr>
            <a:solidFill>
              <a:schemeClr val="accent1"/>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Pivot'!$B$6:$B$26</c:f>
              <c:numCache>
                <c:formatCode>General</c:formatCode>
                <c:ptCount val="16"/>
                <c:pt idx="2">
                  <c:v>8000</c:v>
                </c:pt>
                <c:pt idx="3">
                  <c:v>10000</c:v>
                </c:pt>
                <c:pt idx="8">
                  <c:v>100000</c:v>
                </c:pt>
                <c:pt idx="9">
                  <c:v>5000</c:v>
                </c:pt>
                <c:pt idx="15">
                  <c:v>15000</c:v>
                </c:pt>
              </c:numCache>
            </c:numRef>
          </c:val>
          <c:extLst>
            <c:ext xmlns:c16="http://schemas.microsoft.com/office/drawing/2014/chart" uri="{C3380CC4-5D6E-409C-BE32-E72D297353CC}">
              <c16:uniqueId val="{00000000-A341-459A-9784-9CB22D5B5BA2}"/>
            </c:ext>
          </c:extLst>
        </c:ser>
        <c:ser>
          <c:idx val="1"/>
          <c:order val="1"/>
          <c:tx>
            <c:strRef>
              <c:f>'Revenue Pivot'!$C$3:$C$5</c:f>
              <c:strCache>
                <c:ptCount val="1"/>
                <c:pt idx="0">
                  <c:v>Q1 - Sum of Margin</c:v>
                </c:pt>
              </c:strCache>
            </c:strRef>
          </c:tx>
          <c:spPr>
            <a:solidFill>
              <a:schemeClr val="accent2"/>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Pivot'!$C$6:$C$26</c:f>
              <c:numCache>
                <c:formatCode>General</c:formatCode>
                <c:ptCount val="16"/>
                <c:pt idx="2">
                  <c:v>3000</c:v>
                </c:pt>
                <c:pt idx="3">
                  <c:v>3000</c:v>
                </c:pt>
                <c:pt idx="8">
                  <c:v>20000</c:v>
                </c:pt>
                <c:pt idx="9">
                  <c:v>2000</c:v>
                </c:pt>
                <c:pt idx="15">
                  <c:v>5000</c:v>
                </c:pt>
              </c:numCache>
            </c:numRef>
          </c:val>
          <c:extLst>
            <c:ext xmlns:c16="http://schemas.microsoft.com/office/drawing/2014/chart" uri="{C3380CC4-5D6E-409C-BE32-E72D297353CC}">
              <c16:uniqueId val="{00000001-A341-459A-9784-9CB22D5B5BA2}"/>
            </c:ext>
          </c:extLst>
        </c:ser>
        <c:ser>
          <c:idx val="2"/>
          <c:order val="2"/>
          <c:tx>
            <c:strRef>
              <c:f>'Revenue Pivot'!$D$3:$D$5</c:f>
              <c:strCache>
                <c:ptCount val="1"/>
                <c:pt idx="0">
                  <c:v>Q1 - Growth %</c:v>
                </c:pt>
              </c:strCache>
            </c:strRef>
          </c:tx>
          <c:spPr>
            <a:solidFill>
              <a:schemeClr val="accent3"/>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Pivot'!$D$6:$D$26</c:f>
              <c:numCache>
                <c:formatCode>0.00%</c:formatCode>
                <c:ptCount val="16"/>
              </c:numCache>
            </c:numRef>
          </c:val>
          <c:extLst>
            <c:ext xmlns:c16="http://schemas.microsoft.com/office/drawing/2014/chart" uri="{C3380CC4-5D6E-409C-BE32-E72D297353CC}">
              <c16:uniqueId val="{00000002-A341-459A-9784-9CB22D5B5BA2}"/>
            </c:ext>
          </c:extLst>
        </c:ser>
        <c:ser>
          <c:idx val="3"/>
          <c:order val="3"/>
          <c:tx>
            <c:strRef>
              <c:f>'Revenue Pivot'!$E$3:$E$5</c:f>
              <c:strCache>
                <c:ptCount val="1"/>
                <c:pt idx="0">
                  <c:v>Q2 - Sum of revenue</c:v>
                </c:pt>
              </c:strCache>
            </c:strRef>
          </c:tx>
          <c:spPr>
            <a:solidFill>
              <a:schemeClr val="accent4"/>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Pivot'!$E$6:$E$26</c:f>
              <c:numCache>
                <c:formatCode>General</c:formatCode>
                <c:ptCount val="16"/>
                <c:pt idx="1">
                  <c:v>50000</c:v>
                </c:pt>
                <c:pt idx="5">
                  <c:v>80000</c:v>
                </c:pt>
                <c:pt idx="6">
                  <c:v>10000</c:v>
                </c:pt>
                <c:pt idx="7">
                  <c:v>9000</c:v>
                </c:pt>
                <c:pt idx="14">
                  <c:v>10000</c:v>
                </c:pt>
              </c:numCache>
            </c:numRef>
          </c:val>
          <c:extLst>
            <c:ext xmlns:c16="http://schemas.microsoft.com/office/drawing/2014/chart" uri="{C3380CC4-5D6E-409C-BE32-E72D297353CC}">
              <c16:uniqueId val="{0000000D-A341-459A-9784-9CB22D5B5BA2}"/>
            </c:ext>
          </c:extLst>
        </c:ser>
        <c:ser>
          <c:idx val="4"/>
          <c:order val="4"/>
          <c:tx>
            <c:strRef>
              <c:f>'Revenue Pivot'!$F$3:$F$5</c:f>
              <c:strCache>
                <c:ptCount val="1"/>
                <c:pt idx="0">
                  <c:v>Q2 - Sum of Margin</c:v>
                </c:pt>
              </c:strCache>
            </c:strRef>
          </c:tx>
          <c:spPr>
            <a:solidFill>
              <a:schemeClr val="accent5"/>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Pivot'!$F$6:$F$26</c:f>
              <c:numCache>
                <c:formatCode>General</c:formatCode>
                <c:ptCount val="16"/>
                <c:pt idx="1">
                  <c:v>10000</c:v>
                </c:pt>
                <c:pt idx="5">
                  <c:v>20000</c:v>
                </c:pt>
                <c:pt idx="6">
                  <c:v>3000</c:v>
                </c:pt>
                <c:pt idx="7">
                  <c:v>3500</c:v>
                </c:pt>
                <c:pt idx="14">
                  <c:v>3500</c:v>
                </c:pt>
              </c:numCache>
            </c:numRef>
          </c:val>
          <c:extLst>
            <c:ext xmlns:c16="http://schemas.microsoft.com/office/drawing/2014/chart" uri="{C3380CC4-5D6E-409C-BE32-E72D297353CC}">
              <c16:uniqueId val="{0000000E-A341-459A-9784-9CB22D5B5BA2}"/>
            </c:ext>
          </c:extLst>
        </c:ser>
        <c:ser>
          <c:idx val="5"/>
          <c:order val="5"/>
          <c:tx>
            <c:strRef>
              <c:f>'Revenue Pivot'!$G$3:$G$5</c:f>
              <c:strCache>
                <c:ptCount val="1"/>
                <c:pt idx="0">
                  <c:v>Q2 - Growth %</c:v>
                </c:pt>
              </c:strCache>
            </c:strRef>
          </c:tx>
          <c:spPr>
            <a:solidFill>
              <a:schemeClr val="accent6"/>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Pivot'!$G$6:$G$26</c:f>
              <c:numCache>
                <c:formatCode>0.00%</c:formatCode>
                <c:ptCount val="16"/>
                <c:pt idx="0">
                  <c:v>#N/A</c:v>
                </c:pt>
                <c:pt idx="2">
                  <c:v>#N/A</c:v>
                </c:pt>
                <c:pt idx="3">
                  <c:v>#N/A</c:v>
                </c:pt>
                <c:pt idx="4">
                  <c:v>#N/A</c:v>
                </c:pt>
                <c:pt idx="8">
                  <c:v>#N/A</c:v>
                </c:pt>
                <c:pt idx="9">
                  <c:v>#N/A</c:v>
                </c:pt>
                <c:pt idx="10">
                  <c:v>#N/A</c:v>
                </c:pt>
                <c:pt idx="11">
                  <c:v>#N/A</c:v>
                </c:pt>
                <c:pt idx="12">
                  <c:v>#N/A</c:v>
                </c:pt>
                <c:pt idx="13">
                  <c:v>#N/A</c:v>
                </c:pt>
                <c:pt idx="15">
                  <c:v>#N/A</c:v>
                </c:pt>
              </c:numCache>
            </c:numRef>
          </c:val>
          <c:extLst>
            <c:ext xmlns:c16="http://schemas.microsoft.com/office/drawing/2014/chart" uri="{C3380CC4-5D6E-409C-BE32-E72D297353CC}">
              <c16:uniqueId val="{0000000F-A341-459A-9784-9CB22D5B5BA2}"/>
            </c:ext>
          </c:extLst>
        </c:ser>
        <c:ser>
          <c:idx val="6"/>
          <c:order val="6"/>
          <c:tx>
            <c:strRef>
              <c:f>'Revenue Pivot'!$H$3:$H$5</c:f>
              <c:strCache>
                <c:ptCount val="1"/>
                <c:pt idx="0">
                  <c:v>Q3 - Sum of revenue</c:v>
                </c:pt>
              </c:strCache>
            </c:strRef>
          </c:tx>
          <c:spPr>
            <a:solidFill>
              <a:schemeClr val="accent1">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Pivot'!$H$6:$H$26</c:f>
              <c:numCache>
                <c:formatCode>General</c:formatCode>
                <c:ptCount val="16"/>
                <c:pt idx="0">
                  <c:v>8000</c:v>
                </c:pt>
                <c:pt idx="4">
                  <c:v>100000</c:v>
                </c:pt>
                <c:pt idx="10">
                  <c:v>60000</c:v>
                </c:pt>
                <c:pt idx="11">
                  <c:v>20000</c:v>
                </c:pt>
                <c:pt idx="13">
                  <c:v>7500</c:v>
                </c:pt>
              </c:numCache>
            </c:numRef>
          </c:val>
          <c:extLst>
            <c:ext xmlns:c16="http://schemas.microsoft.com/office/drawing/2014/chart" uri="{C3380CC4-5D6E-409C-BE32-E72D297353CC}">
              <c16:uniqueId val="{00000010-A341-459A-9784-9CB22D5B5BA2}"/>
            </c:ext>
          </c:extLst>
        </c:ser>
        <c:ser>
          <c:idx val="7"/>
          <c:order val="7"/>
          <c:tx>
            <c:strRef>
              <c:f>'Revenue Pivot'!$I$3:$I$5</c:f>
              <c:strCache>
                <c:ptCount val="1"/>
                <c:pt idx="0">
                  <c:v>Q3 - Sum of Margin</c:v>
                </c:pt>
              </c:strCache>
            </c:strRef>
          </c:tx>
          <c:spPr>
            <a:solidFill>
              <a:schemeClr val="accent2">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Pivot'!$I$6:$I$26</c:f>
              <c:numCache>
                <c:formatCode>General</c:formatCode>
                <c:ptCount val="16"/>
                <c:pt idx="0">
                  <c:v>2500</c:v>
                </c:pt>
                <c:pt idx="4">
                  <c:v>20000</c:v>
                </c:pt>
                <c:pt idx="10">
                  <c:v>15000</c:v>
                </c:pt>
                <c:pt idx="11">
                  <c:v>7000</c:v>
                </c:pt>
                <c:pt idx="13">
                  <c:v>3000</c:v>
                </c:pt>
              </c:numCache>
            </c:numRef>
          </c:val>
          <c:extLst>
            <c:ext xmlns:c16="http://schemas.microsoft.com/office/drawing/2014/chart" uri="{C3380CC4-5D6E-409C-BE32-E72D297353CC}">
              <c16:uniqueId val="{00000011-A341-459A-9784-9CB22D5B5BA2}"/>
            </c:ext>
          </c:extLst>
        </c:ser>
        <c:ser>
          <c:idx val="8"/>
          <c:order val="8"/>
          <c:tx>
            <c:strRef>
              <c:f>'Revenue Pivot'!$J$3:$J$5</c:f>
              <c:strCache>
                <c:ptCount val="1"/>
                <c:pt idx="0">
                  <c:v>Q3 - Growth %</c:v>
                </c:pt>
              </c:strCache>
            </c:strRef>
          </c:tx>
          <c:spPr>
            <a:solidFill>
              <a:schemeClr val="accent3">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Pivot'!$J$6:$J$26</c:f>
              <c:numCache>
                <c:formatCode>0.00%</c:formatCode>
                <c:ptCount val="16"/>
                <c:pt idx="1">
                  <c:v>#N/A</c:v>
                </c:pt>
                <c:pt idx="2">
                  <c:v>#N/A</c:v>
                </c:pt>
                <c:pt idx="3">
                  <c:v>#N/A</c:v>
                </c:pt>
                <c:pt idx="5">
                  <c:v>#N/A</c:v>
                </c:pt>
                <c:pt idx="6">
                  <c:v>#N/A</c:v>
                </c:pt>
                <c:pt idx="7">
                  <c:v>#N/A</c:v>
                </c:pt>
                <c:pt idx="8">
                  <c:v>#N/A</c:v>
                </c:pt>
                <c:pt idx="9">
                  <c:v>#N/A</c:v>
                </c:pt>
                <c:pt idx="12">
                  <c:v>#N/A</c:v>
                </c:pt>
                <c:pt idx="14">
                  <c:v>#N/A</c:v>
                </c:pt>
                <c:pt idx="15">
                  <c:v>#N/A</c:v>
                </c:pt>
              </c:numCache>
            </c:numRef>
          </c:val>
          <c:extLst>
            <c:ext xmlns:c16="http://schemas.microsoft.com/office/drawing/2014/chart" uri="{C3380CC4-5D6E-409C-BE32-E72D297353CC}">
              <c16:uniqueId val="{00000012-A341-459A-9784-9CB22D5B5BA2}"/>
            </c:ext>
          </c:extLst>
        </c:ser>
        <c:ser>
          <c:idx val="9"/>
          <c:order val="9"/>
          <c:tx>
            <c:strRef>
              <c:f>'Revenue Pivot'!$K$3:$K$5</c:f>
              <c:strCache>
                <c:ptCount val="1"/>
                <c:pt idx="0">
                  <c:v>Q4 - Sum of revenue</c:v>
                </c:pt>
              </c:strCache>
            </c:strRef>
          </c:tx>
          <c:spPr>
            <a:solidFill>
              <a:schemeClr val="accent4">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Pivot'!$K$6:$K$26</c:f>
              <c:numCache>
                <c:formatCode>General</c:formatCode>
                <c:ptCount val="16"/>
                <c:pt idx="2">
                  <c:v>7000</c:v>
                </c:pt>
                <c:pt idx="5">
                  <c:v>100000</c:v>
                </c:pt>
                <c:pt idx="6">
                  <c:v>15000</c:v>
                </c:pt>
                <c:pt idx="8">
                  <c:v>50000</c:v>
                </c:pt>
                <c:pt idx="12">
                  <c:v>12000</c:v>
                </c:pt>
              </c:numCache>
            </c:numRef>
          </c:val>
          <c:extLst>
            <c:ext xmlns:c16="http://schemas.microsoft.com/office/drawing/2014/chart" uri="{C3380CC4-5D6E-409C-BE32-E72D297353CC}">
              <c16:uniqueId val="{00000016-A341-459A-9784-9CB22D5B5BA2}"/>
            </c:ext>
          </c:extLst>
        </c:ser>
        <c:ser>
          <c:idx val="10"/>
          <c:order val="10"/>
          <c:tx>
            <c:strRef>
              <c:f>'Revenue Pivot'!$L$3:$L$5</c:f>
              <c:strCache>
                <c:ptCount val="1"/>
                <c:pt idx="0">
                  <c:v>Q4 - Sum of Margin</c:v>
                </c:pt>
              </c:strCache>
            </c:strRef>
          </c:tx>
          <c:spPr>
            <a:solidFill>
              <a:schemeClr val="accent5">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Pivot'!$L$6:$L$26</c:f>
              <c:numCache>
                <c:formatCode>General</c:formatCode>
                <c:ptCount val="16"/>
                <c:pt idx="2">
                  <c:v>2500</c:v>
                </c:pt>
                <c:pt idx="5">
                  <c:v>25000</c:v>
                </c:pt>
                <c:pt idx="6">
                  <c:v>5000</c:v>
                </c:pt>
                <c:pt idx="8">
                  <c:v>10000</c:v>
                </c:pt>
                <c:pt idx="12">
                  <c:v>4000</c:v>
                </c:pt>
              </c:numCache>
            </c:numRef>
          </c:val>
          <c:extLst>
            <c:ext xmlns:c16="http://schemas.microsoft.com/office/drawing/2014/chart" uri="{C3380CC4-5D6E-409C-BE32-E72D297353CC}">
              <c16:uniqueId val="{00000017-A341-459A-9784-9CB22D5B5BA2}"/>
            </c:ext>
          </c:extLst>
        </c:ser>
        <c:ser>
          <c:idx val="11"/>
          <c:order val="11"/>
          <c:tx>
            <c:strRef>
              <c:f>'Revenue Pivot'!$M$3:$M$5</c:f>
              <c:strCache>
                <c:ptCount val="1"/>
                <c:pt idx="0">
                  <c:v>Q4 - Growth %</c:v>
                </c:pt>
              </c:strCache>
            </c:strRef>
          </c:tx>
          <c:spPr>
            <a:solidFill>
              <a:schemeClr val="accent6">
                <a:lumMod val="60000"/>
              </a:schemeClr>
            </a:solidFill>
            <a:ln>
              <a:noFill/>
            </a:ln>
            <a:effectLst/>
          </c:spPr>
          <c:invertIfNegative val="0"/>
          <c:cat>
            <c:multiLvlStrRef>
              <c:f>'Revenue Pivot'!$A$6:$A$26</c:f>
              <c:multiLvlStrCache>
                <c:ptCount val="16"/>
                <c:lvl>
                  <c:pt idx="0">
                    <c:v>Chair</c:v>
                  </c:pt>
                  <c:pt idx="1">
                    <c:v>Laptop</c:v>
                  </c:pt>
                  <c:pt idx="2">
                    <c:v>Shirt</c:v>
                  </c:pt>
                  <c:pt idx="3">
                    <c:v>Chair</c:v>
                  </c:pt>
                  <c:pt idx="4">
                    <c:v>Laptop</c:v>
                  </c:pt>
                  <c:pt idx="5">
                    <c:v>Phone</c:v>
                  </c:pt>
                  <c:pt idx="6">
                    <c:v>Table</c:v>
                  </c:pt>
                  <c:pt idx="7">
                    <c:v>Jeans</c:v>
                  </c:pt>
                  <c:pt idx="8">
                    <c:v>Laptop</c:v>
                  </c:pt>
                  <c:pt idx="9">
                    <c:v>Mouse</c:v>
                  </c:pt>
                  <c:pt idx="10">
                    <c:v>Phone</c:v>
                  </c:pt>
                  <c:pt idx="11">
                    <c:v>Table</c:v>
                  </c:pt>
                  <c:pt idx="12">
                    <c:v>Chair</c:v>
                  </c:pt>
                  <c:pt idx="13">
                    <c:v>Jeans</c:v>
                  </c:pt>
                  <c:pt idx="14">
                    <c:v>Shirt</c:v>
                  </c:pt>
                  <c:pt idx="15">
                    <c:v>Table</c:v>
                  </c:pt>
                </c:lvl>
                <c:lvl>
                  <c:pt idx="0">
                    <c:v>East</c:v>
                  </c:pt>
                  <c:pt idx="3">
                    <c:v>North</c:v>
                  </c:pt>
                  <c:pt idx="7">
                    <c:v>South</c:v>
                  </c:pt>
                  <c:pt idx="12">
                    <c:v>West</c:v>
                  </c:pt>
                </c:lvl>
              </c:multiLvlStrCache>
            </c:multiLvlStrRef>
          </c:cat>
          <c:val>
            <c:numRef>
              <c:f>'Revenue Pivot'!$M$6:$M$26</c:f>
              <c:numCache>
                <c:formatCode>0.00%</c:formatCode>
                <c:ptCount val="16"/>
                <c:pt idx="0">
                  <c:v>#N/A</c:v>
                </c:pt>
                <c:pt idx="1">
                  <c:v>#N/A</c:v>
                </c:pt>
                <c:pt idx="3">
                  <c:v>#N/A</c:v>
                </c:pt>
                <c:pt idx="4">
                  <c:v>#N/A</c:v>
                </c:pt>
                <c:pt idx="7">
                  <c:v>#N/A</c:v>
                </c:pt>
                <c:pt idx="9">
                  <c:v>#N/A</c:v>
                </c:pt>
                <c:pt idx="10">
                  <c:v>#N/A</c:v>
                </c:pt>
                <c:pt idx="11">
                  <c:v>#N/A</c:v>
                </c:pt>
                <c:pt idx="13">
                  <c:v>#N/A</c:v>
                </c:pt>
                <c:pt idx="14">
                  <c:v>#N/A</c:v>
                </c:pt>
                <c:pt idx="15">
                  <c:v>#N/A</c:v>
                </c:pt>
              </c:numCache>
            </c:numRef>
          </c:val>
          <c:extLst>
            <c:ext xmlns:c16="http://schemas.microsoft.com/office/drawing/2014/chart" uri="{C3380CC4-5D6E-409C-BE32-E72D297353CC}">
              <c16:uniqueId val="{00000018-A341-459A-9784-9CB22D5B5BA2}"/>
            </c:ext>
          </c:extLst>
        </c:ser>
        <c:dLbls>
          <c:showLegendKey val="0"/>
          <c:showVal val="0"/>
          <c:showCatName val="0"/>
          <c:showSerName val="0"/>
          <c:showPercent val="0"/>
          <c:showBubbleSize val="0"/>
        </c:dLbls>
        <c:gapWidth val="219"/>
        <c:overlap val="-27"/>
        <c:axId val="1999811984"/>
        <c:axId val="1999812464"/>
      </c:barChart>
      <c:catAx>
        <c:axId val="19998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12464"/>
        <c:crosses val="autoZero"/>
        <c:auto val="1"/>
        <c:lblAlgn val="ctr"/>
        <c:lblOffset val="100"/>
        <c:noMultiLvlLbl val="0"/>
      </c:catAx>
      <c:valAx>
        <c:axId val="19998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934057</xdr:colOff>
      <xdr:row>27</xdr:row>
      <xdr:rowOff>105586</xdr:rowOff>
    </xdr:from>
    <xdr:to>
      <xdr:col>12</xdr:col>
      <xdr:colOff>806261</xdr:colOff>
      <xdr:row>42</xdr:row>
      <xdr:rowOff>89820</xdr:rowOff>
    </xdr:to>
    <xdr:graphicFrame macro="">
      <xdr:nvGraphicFramePr>
        <xdr:cNvPr id="2" name="Chart 1">
          <a:extLst>
            <a:ext uri="{FF2B5EF4-FFF2-40B4-BE49-F238E27FC236}">
              <a16:creationId xmlns:a16="http://schemas.microsoft.com/office/drawing/2014/main" id="{CC4C050B-684A-E489-97D2-3631D26A9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83821</xdr:colOff>
      <xdr:row>27</xdr:row>
      <xdr:rowOff>0</xdr:rowOff>
    </xdr:from>
    <xdr:to>
      <xdr:col>1</xdr:col>
      <xdr:colOff>1001486</xdr:colOff>
      <xdr:row>35</xdr:row>
      <xdr:rowOff>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B46A2B6-AB29-F258-951E-D9A5C5E204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1" y="4996543"/>
              <a:ext cx="1875608" cy="148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618309</xdr:colOff>
      <xdr:row>26</xdr:row>
      <xdr:rowOff>164375</xdr:rowOff>
    </xdr:from>
    <xdr:to>
      <xdr:col>6</xdr:col>
      <xdr:colOff>489857</xdr:colOff>
      <xdr:row>39</xdr:row>
      <xdr:rowOff>32658</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9F1B439E-3931-9DE0-9703-A63001256F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265023" y="4975861"/>
              <a:ext cx="1765663" cy="2274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1152797</xdr:colOff>
      <xdr:row>27</xdr:row>
      <xdr:rowOff>23949</xdr:rowOff>
    </xdr:from>
    <xdr:to>
      <xdr:col>4</xdr:col>
      <xdr:colOff>381000</xdr:colOff>
      <xdr:row>36</xdr:row>
      <xdr:rowOff>0</xdr:rowOff>
    </xdr:to>
    <mc:AlternateContent xmlns:mc="http://schemas.openxmlformats.org/markup-compatibility/2006">
      <mc:Choice xmlns:a14="http://schemas.microsoft.com/office/drawing/2010/main" Requires="a14">
        <xdr:graphicFrame macro="">
          <xdr:nvGraphicFramePr>
            <xdr:cNvPr id="5" name="quarter">
              <a:extLst>
                <a:ext uri="{FF2B5EF4-FFF2-40B4-BE49-F238E27FC236}">
                  <a16:creationId xmlns:a16="http://schemas.microsoft.com/office/drawing/2014/main" id="{5E5CF630-C03D-3ABC-D5E1-2774B7409B8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110740" y="5020492"/>
              <a:ext cx="1916974" cy="1641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283.565043287039" createdVersion="8" refreshedVersion="8" minRefreshableVersion="3" recordCount="20" xr:uid="{5EDDB1BE-F689-4EB0-916F-E5563A9CA18C}">
  <cacheSource type="worksheet">
    <worksheetSource name="Excel_Pivot_Power_Query_CSV_Files"/>
  </cacheSource>
  <cacheFields count="12">
    <cacheField name="Source.Name" numFmtId="0">
      <sharedItems/>
    </cacheField>
    <cacheField name="order_id" numFmtId="0">
      <sharedItems containsSemiMixedTypes="0" containsString="0" containsNumber="1" containsInteger="1" minValue="1" maxValue="20"/>
    </cacheField>
    <cacheField name="customer" numFmtId="0">
      <sharedItems/>
    </cacheField>
    <cacheField name="region" numFmtId="0">
      <sharedItems count="4">
        <s v="South"/>
        <s v="North"/>
        <s v="East"/>
        <s v="West"/>
      </sharedItems>
    </cacheField>
    <cacheField name="product" numFmtId="0">
      <sharedItems count="7">
        <s v="Laptop"/>
        <s v="Chair"/>
        <s v="Mouse"/>
        <s v="Shirt"/>
        <s v="Table"/>
        <s v="Phone"/>
        <s v="Jeans"/>
      </sharedItems>
    </cacheField>
    <cacheField name="quantity" numFmtId="0">
      <sharedItems containsSemiMixedTypes="0" containsString="0" containsNumber="1" containsInteger="1" minValue="1" maxValue="10" count="9">
        <n v="2"/>
        <n v="5"/>
        <n v="10"/>
        <n v="8"/>
        <n v="3"/>
        <n v="4"/>
        <n v="6"/>
        <n v="1"/>
        <n v="7"/>
      </sharedItems>
    </cacheField>
    <cacheField name="revenue" numFmtId="0">
      <sharedItems containsSemiMixedTypes="0" containsString="0" containsNumber="1" containsInteger="1" minValue="5000" maxValue="100000"/>
    </cacheField>
    <cacheField name="cost" numFmtId="0">
      <sharedItems containsSemiMixedTypes="0" containsString="0" containsNumber="1" containsInteger="1" minValue="3000" maxValue="80000"/>
    </cacheField>
    <cacheField name="order_date" numFmtId="14">
      <sharedItems containsSemiMixedTypes="0" containsNonDate="0" containsDate="1" containsString="0" minDate="2026-01-05T00:00:00" maxDate="2026-12-06T00:00:00"/>
    </cacheField>
    <cacheField name="Margin" numFmtId="0">
      <sharedItems containsSemiMixedTypes="0" containsString="0" containsNumber="1" containsInteger="1" minValue="2000" maxValue="25000"/>
    </cacheField>
    <cacheField name="margin_%" numFmtId="0">
      <sharedItems containsSemiMixedTypes="0" containsString="0" containsNumber="1" minValue="0.2" maxValue="0.4"/>
    </cacheField>
    <cacheField name="quarter" numFmtId="0">
      <sharedItems count="4">
        <s v="Q1"/>
        <s v="Q2"/>
        <s v="Q3"/>
        <s v="Q4"/>
      </sharedItems>
    </cacheField>
  </cacheFields>
  <extLst>
    <ext xmlns:x14="http://schemas.microsoft.com/office/spreadsheetml/2009/9/main" uri="{725AE2AE-9491-48be-B2B4-4EB974FC3084}">
      <x14:pivotCacheDefinition pivotCacheId="1950359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ales_q1.csv"/>
    <n v="1"/>
    <s v="Rahul"/>
    <x v="0"/>
    <x v="0"/>
    <x v="0"/>
    <n v="100000"/>
    <n v="80000"/>
    <d v="2026-01-05T00:00:00"/>
    <n v="20000"/>
    <n v="0.2"/>
    <x v="0"/>
  </r>
  <r>
    <s v="sales_q1.csv"/>
    <n v="2"/>
    <s v="Priya"/>
    <x v="1"/>
    <x v="1"/>
    <x v="1"/>
    <n v="10000"/>
    <n v="7000"/>
    <d v="2026-01-12T00:00:00"/>
    <n v="3000"/>
    <n v="0.3"/>
    <x v="0"/>
  </r>
  <r>
    <s v="sales_q1.csv"/>
    <n v="3"/>
    <s v="Amit"/>
    <x v="0"/>
    <x v="2"/>
    <x v="2"/>
    <n v="5000"/>
    <n v="3000"/>
    <d v="2026-02-03T00:00:00"/>
    <n v="2000"/>
    <n v="0.4"/>
    <x v="0"/>
  </r>
  <r>
    <s v="sales_q1.csv"/>
    <n v="4"/>
    <s v="Neha"/>
    <x v="2"/>
    <x v="3"/>
    <x v="3"/>
    <n v="8000"/>
    <n v="5000"/>
    <d v="2026-02-15T00:00:00"/>
    <n v="3000"/>
    <n v="0.375"/>
    <x v="0"/>
  </r>
  <r>
    <s v="sales_q1.csv"/>
    <n v="5"/>
    <s v="Ravi"/>
    <x v="3"/>
    <x v="4"/>
    <x v="4"/>
    <n v="15000"/>
    <n v="10000"/>
    <d v="2026-03-08T00:00:00"/>
    <n v="5000"/>
    <n v="0.33333333333333331"/>
    <x v="0"/>
  </r>
  <r>
    <s v="sales_q2.csv"/>
    <n v="6"/>
    <s v="Anu"/>
    <x v="1"/>
    <x v="5"/>
    <x v="5"/>
    <n v="80000"/>
    <n v="60000"/>
    <d v="2026-04-10T00:00:00"/>
    <n v="20000"/>
    <n v="0.25"/>
    <x v="1"/>
  </r>
  <r>
    <s v="sales_q2.csv"/>
    <n v="7"/>
    <s v="Kiran"/>
    <x v="0"/>
    <x v="6"/>
    <x v="6"/>
    <n v="9000"/>
    <n v="5500"/>
    <d v="2026-04-20T00:00:00"/>
    <n v="3500"/>
    <n v="0.3888888888888889"/>
    <x v="1"/>
  </r>
  <r>
    <s v="sales_q2.csv"/>
    <n v="8"/>
    <s v="Meena"/>
    <x v="2"/>
    <x v="0"/>
    <x v="7"/>
    <n v="50000"/>
    <n v="40000"/>
    <d v="2026-05-05T00:00:00"/>
    <n v="10000"/>
    <n v="0.2"/>
    <x v="1"/>
  </r>
  <r>
    <s v="sales_q2.csv"/>
    <n v="9"/>
    <s v="Arjun"/>
    <x v="3"/>
    <x v="3"/>
    <x v="2"/>
    <n v="10000"/>
    <n v="6500"/>
    <d v="2026-05-18T00:00:00"/>
    <n v="3500"/>
    <n v="0.35"/>
    <x v="1"/>
  </r>
  <r>
    <s v="sales_q2.csv"/>
    <n v="10"/>
    <s v="Sneha"/>
    <x v="1"/>
    <x v="4"/>
    <x v="0"/>
    <n v="10000"/>
    <n v="7000"/>
    <d v="2026-06-05T00:00:00"/>
    <n v="3000"/>
    <n v="0.3"/>
    <x v="1"/>
  </r>
  <r>
    <s v="sales_q3.csv"/>
    <n v="11"/>
    <s v="Rahul"/>
    <x v="0"/>
    <x v="5"/>
    <x v="4"/>
    <n v="60000"/>
    <n v="45000"/>
    <d v="2026-07-08T00:00:00"/>
    <n v="15000"/>
    <n v="0.25"/>
    <x v="2"/>
  </r>
  <r>
    <s v="sales_q3.csv"/>
    <n v="12"/>
    <s v="Priya"/>
    <x v="1"/>
    <x v="0"/>
    <x v="0"/>
    <n v="100000"/>
    <n v="80000"/>
    <d v="2026-07-20T00:00:00"/>
    <n v="20000"/>
    <n v="0.2"/>
    <x v="2"/>
  </r>
  <r>
    <s v="sales_q3.csv"/>
    <n v="13"/>
    <s v="Amit"/>
    <x v="2"/>
    <x v="1"/>
    <x v="5"/>
    <n v="8000"/>
    <n v="5500"/>
    <d v="2026-08-03T00:00:00"/>
    <n v="2500"/>
    <n v="0.3125"/>
    <x v="2"/>
  </r>
  <r>
    <s v="sales_q3.csv"/>
    <n v="14"/>
    <s v="Neha"/>
    <x v="3"/>
    <x v="6"/>
    <x v="1"/>
    <n v="7500"/>
    <n v="4500"/>
    <d v="2026-08-15T00:00:00"/>
    <n v="3000"/>
    <n v="0.4"/>
    <x v="2"/>
  </r>
  <r>
    <s v="sales_q3.csv"/>
    <n v="15"/>
    <s v="Ravi"/>
    <x v="0"/>
    <x v="4"/>
    <x v="5"/>
    <n v="20000"/>
    <n v="13000"/>
    <d v="2026-09-10T00:00:00"/>
    <n v="7000"/>
    <n v="0.35"/>
    <x v="2"/>
  </r>
  <r>
    <s v="sales_q4.csv"/>
    <n v="16"/>
    <s v="Anu"/>
    <x v="1"/>
    <x v="5"/>
    <x v="1"/>
    <n v="100000"/>
    <n v="75000"/>
    <d v="2026-10-05T00:00:00"/>
    <n v="25000"/>
    <n v="0.25"/>
    <x v="3"/>
  </r>
  <r>
    <s v="sales_q4.csv"/>
    <n v="17"/>
    <s v="Kiran"/>
    <x v="0"/>
    <x v="0"/>
    <x v="7"/>
    <n v="50000"/>
    <n v="40000"/>
    <d v="2026-10-18T00:00:00"/>
    <n v="10000"/>
    <n v="0.2"/>
    <x v="3"/>
  </r>
  <r>
    <s v="sales_q4.csv"/>
    <n v="18"/>
    <s v="Meena"/>
    <x v="2"/>
    <x v="3"/>
    <x v="8"/>
    <n v="7000"/>
    <n v="4500"/>
    <d v="2026-11-02T00:00:00"/>
    <n v="2500"/>
    <n v="0.35714285714285715"/>
    <x v="3"/>
  </r>
  <r>
    <s v="sales_q4.csv"/>
    <n v="19"/>
    <s v="Arjun"/>
    <x v="3"/>
    <x v="1"/>
    <x v="6"/>
    <n v="12000"/>
    <n v="8000"/>
    <d v="2026-11-15T00:00:00"/>
    <n v="4000"/>
    <n v="0.33333333333333331"/>
    <x v="3"/>
  </r>
  <r>
    <s v="sales_q4.csv"/>
    <n v="20"/>
    <s v="Sneha"/>
    <x v="1"/>
    <x v="4"/>
    <x v="4"/>
    <n v="15000"/>
    <n v="10000"/>
    <d v="2026-12-05T00:00:00"/>
    <n v="5000"/>
    <n v="0.3333333333333333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7F861-E32B-4D29-A0B0-41613B330AE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P26" firstHeaderRow="1" firstDataRow="3" firstDataCol="1"/>
  <pivotFields count="12">
    <pivotField showAll="0"/>
    <pivotField showAll="0"/>
    <pivotField showAll="0"/>
    <pivotField axis="axisRow" showAll="0">
      <items count="5">
        <item x="2"/>
        <item x="1"/>
        <item x="0"/>
        <item x="3"/>
        <item t="default"/>
      </items>
    </pivotField>
    <pivotField axis="axisRow" showAll="0">
      <items count="8">
        <item x="1"/>
        <item x="6"/>
        <item x="0"/>
        <item x="2"/>
        <item x="5"/>
        <item x="3"/>
        <item x="4"/>
        <item t="default"/>
      </items>
    </pivotField>
    <pivotField showAll="0">
      <items count="10">
        <item x="7"/>
        <item x="0"/>
        <item x="4"/>
        <item x="5"/>
        <item x="1"/>
        <item x="6"/>
        <item x="8"/>
        <item x="3"/>
        <item x="2"/>
        <item t="default"/>
      </items>
    </pivotField>
    <pivotField dataField="1" showAll="0"/>
    <pivotField showAll="0"/>
    <pivotField numFmtId="14" showAll="0"/>
    <pivotField dataField="1" showAll="0"/>
    <pivotField showAll="0"/>
    <pivotField axis="axisCol" showAll="0">
      <items count="5">
        <item x="0"/>
        <item x="1"/>
        <item x="2"/>
        <item x="3"/>
        <item t="default"/>
      </items>
    </pivotField>
  </pivotFields>
  <rowFields count="2">
    <field x="3"/>
    <field x="4"/>
  </rowFields>
  <rowItems count="21">
    <i>
      <x/>
    </i>
    <i r="1">
      <x/>
    </i>
    <i r="1">
      <x v="2"/>
    </i>
    <i r="1">
      <x v="5"/>
    </i>
    <i>
      <x v="1"/>
    </i>
    <i r="1">
      <x/>
    </i>
    <i r="1">
      <x v="2"/>
    </i>
    <i r="1">
      <x v="4"/>
    </i>
    <i r="1">
      <x v="6"/>
    </i>
    <i>
      <x v="2"/>
    </i>
    <i r="1">
      <x v="1"/>
    </i>
    <i r="1">
      <x v="2"/>
    </i>
    <i r="1">
      <x v="3"/>
    </i>
    <i r="1">
      <x v="4"/>
    </i>
    <i r="1">
      <x v="6"/>
    </i>
    <i>
      <x v="3"/>
    </i>
    <i r="1">
      <x/>
    </i>
    <i r="1">
      <x v="1"/>
    </i>
    <i r="1">
      <x v="5"/>
    </i>
    <i r="1">
      <x v="6"/>
    </i>
    <i t="grand">
      <x/>
    </i>
  </rowItems>
  <colFields count="2">
    <field x="11"/>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Sum of revenue" fld="6" baseField="0" baseItem="0"/>
    <dataField name="Sum of Margin" fld="9" baseField="0" baseItem="0"/>
    <dataField name="Growth %" fld="6" showDataAs="percentDiff" baseField="11" baseItem="1048828" numFmtId="1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1"/>
          </reference>
          <reference field="11" count="1" selected="0">
            <x v="0"/>
          </reference>
        </references>
      </pivotArea>
    </chartFormat>
    <chartFormat chart="0" format="2" series="1">
      <pivotArea type="data" outline="0" fieldPosition="0">
        <references count="2">
          <reference field="4294967294" count="1" selected="0">
            <x v="2"/>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0" format="4" series="1">
      <pivotArea type="data" outline="0" fieldPosition="0">
        <references count="2">
          <reference field="4294967294" count="1" selected="0">
            <x v="1"/>
          </reference>
          <reference field="11" count="1" selected="0">
            <x v="1"/>
          </reference>
        </references>
      </pivotArea>
    </chartFormat>
    <chartFormat chart="0" format="5" series="1">
      <pivotArea type="data" outline="0" fieldPosition="0">
        <references count="2">
          <reference field="4294967294" count="1" selected="0">
            <x v="2"/>
          </reference>
          <reference field="11" count="1" selected="0">
            <x v="1"/>
          </reference>
        </references>
      </pivotArea>
    </chartFormat>
    <chartFormat chart="0" format="6" series="1">
      <pivotArea type="data" outline="0" fieldPosition="0">
        <references count="2">
          <reference field="4294967294" count="1" selected="0">
            <x v="0"/>
          </reference>
          <reference field="11" count="1" selected="0">
            <x v="2"/>
          </reference>
        </references>
      </pivotArea>
    </chartFormat>
    <chartFormat chart="0" format="7" series="1">
      <pivotArea type="data" outline="0" fieldPosition="0">
        <references count="2">
          <reference field="4294967294" count="1" selected="0">
            <x v="1"/>
          </reference>
          <reference field="11" count="1" selected="0">
            <x v="2"/>
          </reference>
        </references>
      </pivotArea>
    </chartFormat>
    <chartFormat chart="0" format="8" series="1">
      <pivotArea type="data" outline="0" fieldPosition="0">
        <references count="2">
          <reference field="4294967294" count="1" selected="0">
            <x v="2"/>
          </reference>
          <reference field="11" count="1" selected="0">
            <x v="2"/>
          </reference>
        </references>
      </pivotArea>
    </chartFormat>
    <chartFormat chart="0" format="9" series="1">
      <pivotArea type="data" outline="0" fieldPosition="0">
        <references count="2">
          <reference field="4294967294" count="1" selected="0">
            <x v="0"/>
          </reference>
          <reference field="11" count="1" selected="0">
            <x v="3"/>
          </reference>
        </references>
      </pivotArea>
    </chartFormat>
    <chartFormat chart="0" format="10" series="1">
      <pivotArea type="data" outline="0" fieldPosition="0">
        <references count="2">
          <reference field="4294967294" count="1" selected="0">
            <x v="1"/>
          </reference>
          <reference field="11" count="1" selected="0">
            <x v="3"/>
          </reference>
        </references>
      </pivotArea>
    </chartFormat>
    <chartFormat chart="0" format="11" series="1">
      <pivotArea type="data" outline="0" fieldPosition="0">
        <references count="2">
          <reference field="4294967294" count="1" selected="0">
            <x v="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C62B75-308B-44DC-98A4-F8EFA3CAFE1F}" autoFormatId="16" applyNumberFormats="0" applyBorderFormats="0" applyFontFormats="0" applyPatternFormats="0" applyAlignmentFormats="0" applyWidthHeightFormats="0">
  <queryTableRefresh nextId="13" unboundColumnsRight="3">
    <queryTableFields count="12">
      <queryTableField id="1" name="Source.Name" tableColumnId="1"/>
      <queryTableField id="2" name="order_id" tableColumnId="2"/>
      <queryTableField id="3" name="customer" tableColumnId="3"/>
      <queryTableField id="4" name="region" tableColumnId="4"/>
      <queryTableField id="5" name="product" tableColumnId="5"/>
      <queryTableField id="6" name="quantity" tableColumnId="6"/>
      <queryTableField id="7" name="revenue" tableColumnId="7"/>
      <queryTableField id="8" name="cost" tableColumnId="8"/>
      <queryTableField id="9" name="order_date"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747E9A-D839-4B56-A7CA-4B64EBB8B9AF}" sourceName="region">
  <pivotTables>
    <pivotTable tabId="3" name="PivotTable1"/>
  </pivotTables>
  <data>
    <tabular pivotCacheId="195035970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926977-32A0-470C-917B-80B3033AFE36}" sourceName="product">
  <pivotTables>
    <pivotTable tabId="3" name="PivotTable1"/>
  </pivotTables>
  <data>
    <tabular pivotCacheId="1950359707">
      <items count="7">
        <i x="1" s="1"/>
        <i x="6" s="1"/>
        <i x="0" s="1"/>
        <i x="2"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41D27B6-9D5B-4203-A7C0-B20CC918EA4C}" sourceName="quarter">
  <pivotTables>
    <pivotTable tabId="3" name="PivotTable1"/>
  </pivotTables>
  <data>
    <tabular pivotCacheId="195035970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0099C2-0D8E-4B57-99CD-AE1BEA340BD0}" cache="Slicer_region" caption="region" rowHeight="247650"/>
  <slicer name="product" xr10:uid="{1FA69DCF-E9F1-4C5A-82DB-2B3EB2585110}" cache="Slicer_product" caption="product" rowHeight="247650"/>
  <slicer name="quarter" xr10:uid="{48EC007D-83B0-4F40-A57D-1AEE1AE3A640}" cache="Slicer_quarter" caption="quarter"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4A353B-AC7D-4790-9BC5-D51F41DEF58E}" name="Table6" displayName="Table6" ref="A1:B8" totalsRowShown="0" headerRowDxfId="0" dataDxfId="1">
  <autoFilter ref="A1:B8" xr:uid="{214A353B-AC7D-4790-9BC5-D51F41DEF58E}"/>
  <tableColumns count="2">
    <tableColumn id="1" xr3:uid="{FEDC1EC0-83F6-4730-BAB9-7C332DC0E195}" name="Cell" dataDxfId="3"/>
    <tableColumn id="2" xr3:uid="{F94CB65A-9D05-46A9-9098-6CD6AEEAAEAB}" name="Valu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7D4B0C-09FB-4A31-9219-6DEE6B295534}" name="Excel_Pivot_Power_Query_CSV_Files" displayName="Excel_Pivot_Power_Query_CSV_Files" ref="A1:L21" tableType="queryTable" totalsRowShown="0">
  <autoFilter ref="A1:L21" xr:uid="{A77D4B0C-09FB-4A31-9219-6DEE6B295534}"/>
  <tableColumns count="12">
    <tableColumn id="1" xr3:uid="{8388C0DF-6A02-437C-8DCD-4CEDB7450A8F}" uniqueName="1" name="Source.Name" queryTableFieldId="1" dataDxfId="11"/>
    <tableColumn id="2" xr3:uid="{61EA53BE-6C83-437A-921E-D1C143BF5BD5}" uniqueName="2" name="order_id" queryTableFieldId="2"/>
    <tableColumn id="3" xr3:uid="{179864F9-1F30-4D2F-9CD7-DF5888CD5F81}" uniqueName="3" name="customer" queryTableFieldId="3" dataDxfId="10"/>
    <tableColumn id="4" xr3:uid="{3F2D66A8-92CF-4C6E-B1BF-1BC1D3F18A7A}" uniqueName="4" name="region" queryTableFieldId="4" dataDxfId="9"/>
    <tableColumn id="5" xr3:uid="{DD9B4FFF-3ADB-4A43-92D6-6B2EB1A5F65B}" uniqueName="5" name="product" queryTableFieldId="5" dataDxfId="8"/>
    <tableColumn id="6" xr3:uid="{728DF905-0E47-49CD-B642-89D6FBE373D1}" uniqueName="6" name="quantity" queryTableFieldId="6"/>
    <tableColumn id="7" xr3:uid="{703BC139-405E-45DC-B4D0-3849FBBFBEBE}" uniqueName="7" name="revenue" queryTableFieldId="7"/>
    <tableColumn id="8" xr3:uid="{DAF0101B-841E-4AF4-A785-BD792861D91D}" uniqueName="8" name="cost" queryTableFieldId="8"/>
    <tableColumn id="9" xr3:uid="{9CA6CBB2-4F08-47EE-B34C-E669BFCB17C0}" uniqueName="9" name="order_date" queryTableFieldId="9" dataDxfId="7"/>
    <tableColumn id="10" xr3:uid="{F43F04C3-C672-4193-8ECD-4EF7D5991269}" uniqueName="10" name="Margin" queryTableFieldId="10" dataDxfId="6">
      <calculatedColumnFormula>Excel_Pivot_Power_Query_CSV_Files[[#This Row],[revenue]]-Excel_Pivot_Power_Query_CSV_Files[[#This Row],[cost]]</calculatedColumnFormula>
    </tableColumn>
    <tableColumn id="11" xr3:uid="{F3F2EDED-4002-42E5-B82A-5103CE680F37}" uniqueName="11" name="margin_%" queryTableFieldId="11" dataDxfId="5">
      <calculatedColumnFormula>IFERROR(Excel_Pivot_Power_Query_CSV_Files[[#This Row],[Margin]]/Excel_Pivot_Power_Query_CSV_Files[[#This Row],[revenue]],0)</calculatedColumnFormula>
    </tableColumn>
    <tableColumn id="12" xr3:uid="{AF2432FE-917D-4260-B30F-BAA564739A15}" uniqueName="12" name="quarter" queryTableFieldId="12" dataDxfId="4">
      <calculatedColumnFormula>"Q"&amp;ROUNDUP(MONTH(I2)/3,0)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4BDC-8BD4-468A-91BB-27EA682DEDEB}">
  <dimension ref="A3:P26"/>
  <sheetViews>
    <sheetView topLeftCell="A3" zoomScale="70" workbookViewId="0">
      <selection activeCell="D40" sqref="D40"/>
    </sheetView>
  </sheetViews>
  <sheetFormatPr defaultRowHeight="14.4" x14ac:dyDescent="0.3"/>
  <cols>
    <col min="1" max="1" width="13.88671875" bestFit="1" customWidth="1"/>
    <col min="2" max="2" width="17.109375" bestFit="1" customWidth="1"/>
    <col min="3" max="3" width="13" bestFit="1" customWidth="1"/>
    <col min="4" max="4" width="9.109375" bestFit="1" customWidth="1"/>
    <col min="5" max="5" width="14.5546875" bestFit="1" customWidth="1"/>
    <col min="6" max="6" width="13" bestFit="1" customWidth="1"/>
    <col min="7" max="7" width="9.109375" bestFit="1" customWidth="1"/>
    <col min="8" max="8" width="14.5546875" bestFit="1" customWidth="1"/>
    <col min="9" max="9" width="13" bestFit="1" customWidth="1"/>
    <col min="10" max="10" width="9.109375" bestFit="1" customWidth="1"/>
    <col min="11" max="11" width="14.5546875" bestFit="1" customWidth="1"/>
    <col min="12" max="12" width="13" bestFit="1" customWidth="1"/>
    <col min="13" max="13" width="9.109375" bestFit="1" customWidth="1"/>
    <col min="14" max="14" width="19.33203125" bestFit="1" customWidth="1"/>
    <col min="15" max="15" width="17.77734375" bestFit="1" customWidth="1"/>
    <col min="16" max="16" width="13.77734375" bestFit="1" customWidth="1"/>
  </cols>
  <sheetData>
    <row r="3" spans="1:16" x14ac:dyDescent="0.3">
      <c r="B3" s="3" t="s">
        <v>39</v>
      </c>
    </row>
    <row r="4" spans="1:16" x14ac:dyDescent="0.3">
      <c r="B4" t="s">
        <v>41</v>
      </c>
      <c r="E4" t="s">
        <v>42</v>
      </c>
      <c r="H4" t="s">
        <v>43</v>
      </c>
      <c r="K4" t="s">
        <v>44</v>
      </c>
      <c r="N4" t="s">
        <v>45</v>
      </c>
      <c r="O4" t="s">
        <v>46</v>
      </c>
      <c r="P4" t="s">
        <v>48</v>
      </c>
    </row>
    <row r="5" spans="1:16" x14ac:dyDescent="0.3">
      <c r="A5" s="3" t="s">
        <v>37</v>
      </c>
      <c r="B5" t="s">
        <v>40</v>
      </c>
      <c r="C5" t="s">
        <v>47</v>
      </c>
      <c r="D5" t="s">
        <v>49</v>
      </c>
      <c r="E5" t="s">
        <v>40</v>
      </c>
      <c r="F5" t="s">
        <v>47</v>
      </c>
      <c r="G5" t="s">
        <v>49</v>
      </c>
      <c r="H5" t="s">
        <v>40</v>
      </c>
      <c r="I5" t="s">
        <v>47</v>
      </c>
      <c r="J5" t="s">
        <v>49</v>
      </c>
      <c r="K5" t="s">
        <v>40</v>
      </c>
      <c r="L5" t="s">
        <v>47</v>
      </c>
      <c r="M5" t="s">
        <v>49</v>
      </c>
    </row>
    <row r="6" spans="1:16" x14ac:dyDescent="0.3">
      <c r="A6" s="4" t="s">
        <v>19</v>
      </c>
      <c r="B6" s="1">
        <v>8000</v>
      </c>
      <c r="C6" s="1">
        <v>3000</v>
      </c>
      <c r="D6" s="6"/>
      <c r="E6" s="1">
        <v>50000</v>
      </c>
      <c r="F6" s="1">
        <v>10000</v>
      </c>
      <c r="G6" s="6">
        <v>5.25</v>
      </c>
      <c r="H6" s="1">
        <v>8000</v>
      </c>
      <c r="I6" s="1">
        <v>2500</v>
      </c>
      <c r="J6" s="6">
        <v>-0.84</v>
      </c>
      <c r="K6" s="1">
        <v>7000</v>
      </c>
      <c r="L6" s="1">
        <v>2500</v>
      </c>
      <c r="M6" s="6">
        <v>-0.125</v>
      </c>
      <c r="N6" s="1">
        <v>73000</v>
      </c>
      <c r="O6" s="1">
        <v>18000</v>
      </c>
      <c r="P6" s="6"/>
    </row>
    <row r="7" spans="1:16" x14ac:dyDescent="0.3">
      <c r="A7" s="5" t="s">
        <v>15</v>
      </c>
      <c r="B7" s="1"/>
      <c r="C7" s="1"/>
      <c r="D7" s="6"/>
      <c r="E7" s="1"/>
      <c r="F7" s="1"/>
      <c r="G7" s="6" t="e">
        <v>#NULL!</v>
      </c>
      <c r="H7" s="1">
        <v>8000</v>
      </c>
      <c r="I7" s="1">
        <v>2500</v>
      </c>
      <c r="J7" s="6"/>
      <c r="K7" s="1"/>
      <c r="L7" s="1"/>
      <c r="M7" s="6" t="e">
        <v>#NULL!</v>
      </c>
      <c r="N7" s="1">
        <v>8000</v>
      </c>
      <c r="O7" s="1">
        <v>2500</v>
      </c>
      <c r="P7" s="6"/>
    </row>
    <row r="8" spans="1:16" x14ac:dyDescent="0.3">
      <c r="A8" s="5" t="s">
        <v>12</v>
      </c>
      <c r="B8" s="1"/>
      <c r="C8" s="1"/>
      <c r="D8" s="6"/>
      <c r="E8" s="1">
        <v>50000</v>
      </c>
      <c r="F8" s="1">
        <v>10000</v>
      </c>
      <c r="G8" s="6"/>
      <c r="H8" s="1"/>
      <c r="I8" s="1"/>
      <c r="J8" s="6" t="e">
        <v>#NULL!</v>
      </c>
      <c r="K8" s="1"/>
      <c r="L8" s="1"/>
      <c r="M8" s="6" t="e">
        <v>#NULL!</v>
      </c>
      <c r="N8" s="1">
        <v>50000</v>
      </c>
      <c r="O8" s="1">
        <v>10000</v>
      </c>
      <c r="P8" s="6"/>
    </row>
    <row r="9" spans="1:16" x14ac:dyDescent="0.3">
      <c r="A9" s="5" t="s">
        <v>20</v>
      </c>
      <c r="B9" s="1">
        <v>8000</v>
      </c>
      <c r="C9" s="1">
        <v>3000</v>
      </c>
      <c r="D9" s="6"/>
      <c r="E9" s="1"/>
      <c r="F9" s="1"/>
      <c r="G9" s="6" t="e">
        <v>#NULL!</v>
      </c>
      <c r="H9" s="1"/>
      <c r="I9" s="1"/>
      <c r="J9" s="6" t="e">
        <v>#NULL!</v>
      </c>
      <c r="K9" s="1">
        <v>7000</v>
      </c>
      <c r="L9" s="1">
        <v>2500</v>
      </c>
      <c r="M9" s="6"/>
      <c r="N9" s="1">
        <v>15000</v>
      </c>
      <c r="O9" s="1">
        <v>5500</v>
      </c>
      <c r="P9" s="6"/>
    </row>
    <row r="10" spans="1:16" x14ac:dyDescent="0.3">
      <c r="A10" s="4" t="s">
        <v>14</v>
      </c>
      <c r="B10" s="1">
        <v>10000</v>
      </c>
      <c r="C10" s="1">
        <v>3000</v>
      </c>
      <c r="D10" s="6"/>
      <c r="E10" s="1">
        <v>90000</v>
      </c>
      <c r="F10" s="1">
        <v>23000</v>
      </c>
      <c r="G10" s="6">
        <v>8</v>
      </c>
      <c r="H10" s="1">
        <v>100000</v>
      </c>
      <c r="I10" s="1">
        <v>20000</v>
      </c>
      <c r="J10" s="6">
        <v>0.1111111111111111</v>
      </c>
      <c r="K10" s="1">
        <v>115000</v>
      </c>
      <c r="L10" s="1">
        <v>30000</v>
      </c>
      <c r="M10" s="6">
        <v>0.15</v>
      </c>
      <c r="N10" s="1">
        <v>315000</v>
      </c>
      <c r="O10" s="1">
        <v>76000</v>
      </c>
      <c r="P10" s="6"/>
    </row>
    <row r="11" spans="1:16" x14ac:dyDescent="0.3">
      <c r="A11" s="5" t="s">
        <v>15</v>
      </c>
      <c r="B11" s="1">
        <v>10000</v>
      </c>
      <c r="C11" s="1">
        <v>3000</v>
      </c>
      <c r="D11" s="6"/>
      <c r="E11" s="1"/>
      <c r="F11" s="1"/>
      <c r="G11" s="6" t="e">
        <v>#NULL!</v>
      </c>
      <c r="H11" s="1"/>
      <c r="I11" s="1"/>
      <c r="J11" s="6" t="e">
        <v>#NULL!</v>
      </c>
      <c r="K11" s="1"/>
      <c r="L11" s="1"/>
      <c r="M11" s="6" t="e">
        <v>#NULL!</v>
      </c>
      <c r="N11" s="1">
        <v>10000</v>
      </c>
      <c r="O11" s="1">
        <v>3000</v>
      </c>
      <c r="P11" s="6"/>
    </row>
    <row r="12" spans="1:16" x14ac:dyDescent="0.3">
      <c r="A12" s="5" t="s">
        <v>12</v>
      </c>
      <c r="B12" s="1"/>
      <c r="C12" s="1"/>
      <c r="D12" s="6"/>
      <c r="E12" s="1"/>
      <c r="F12" s="1"/>
      <c r="G12" s="6" t="e">
        <v>#NULL!</v>
      </c>
      <c r="H12" s="1">
        <v>100000</v>
      </c>
      <c r="I12" s="1">
        <v>20000</v>
      </c>
      <c r="J12" s="6"/>
      <c r="K12" s="1"/>
      <c r="L12" s="1"/>
      <c r="M12" s="6" t="e">
        <v>#NULL!</v>
      </c>
      <c r="N12" s="1">
        <v>100000</v>
      </c>
      <c r="O12" s="1">
        <v>20000</v>
      </c>
      <c r="P12" s="6"/>
    </row>
    <row r="13" spans="1:16" x14ac:dyDescent="0.3">
      <c r="A13" s="5" t="s">
        <v>26</v>
      </c>
      <c r="B13" s="1"/>
      <c r="C13" s="1"/>
      <c r="D13" s="6"/>
      <c r="E13" s="1">
        <v>80000</v>
      </c>
      <c r="F13" s="1">
        <v>20000</v>
      </c>
      <c r="G13" s="6"/>
      <c r="H13" s="1"/>
      <c r="I13" s="1"/>
      <c r="J13" s="6" t="e">
        <v>#NULL!</v>
      </c>
      <c r="K13" s="1">
        <v>100000</v>
      </c>
      <c r="L13" s="1">
        <v>25000</v>
      </c>
      <c r="M13" s="6"/>
      <c r="N13" s="1">
        <v>180000</v>
      </c>
      <c r="O13" s="1">
        <v>45000</v>
      </c>
      <c r="P13" s="6"/>
    </row>
    <row r="14" spans="1:16" x14ac:dyDescent="0.3">
      <c r="A14" s="5" t="s">
        <v>23</v>
      </c>
      <c r="B14" s="1"/>
      <c r="C14" s="1"/>
      <c r="D14" s="6"/>
      <c r="E14" s="1">
        <v>10000</v>
      </c>
      <c r="F14" s="1">
        <v>3000</v>
      </c>
      <c r="G14" s="6"/>
      <c r="H14" s="1"/>
      <c r="I14" s="1"/>
      <c r="J14" s="6" t="e">
        <v>#NULL!</v>
      </c>
      <c r="K14" s="1">
        <v>15000</v>
      </c>
      <c r="L14" s="1">
        <v>5000</v>
      </c>
      <c r="M14" s="6"/>
      <c r="N14" s="1">
        <v>25000</v>
      </c>
      <c r="O14" s="1">
        <v>8000</v>
      </c>
      <c r="P14" s="6"/>
    </row>
    <row r="15" spans="1:16" x14ac:dyDescent="0.3">
      <c r="A15" s="4" t="s">
        <v>11</v>
      </c>
      <c r="B15" s="1">
        <v>105000</v>
      </c>
      <c r="C15" s="1">
        <v>22000</v>
      </c>
      <c r="D15" s="6"/>
      <c r="E15" s="1">
        <v>9000</v>
      </c>
      <c r="F15" s="1">
        <v>3500</v>
      </c>
      <c r="G15" s="6">
        <v>-0.91428571428571426</v>
      </c>
      <c r="H15" s="1">
        <v>80000</v>
      </c>
      <c r="I15" s="1">
        <v>22000</v>
      </c>
      <c r="J15" s="6">
        <v>7.8888888888888893</v>
      </c>
      <c r="K15" s="1">
        <v>50000</v>
      </c>
      <c r="L15" s="1">
        <v>10000</v>
      </c>
      <c r="M15" s="6">
        <v>-0.375</v>
      </c>
      <c r="N15" s="1">
        <v>244000</v>
      </c>
      <c r="O15" s="1">
        <v>57500</v>
      </c>
      <c r="P15" s="6"/>
    </row>
    <row r="16" spans="1:16" x14ac:dyDescent="0.3">
      <c r="A16" s="5" t="s">
        <v>28</v>
      </c>
      <c r="B16" s="1"/>
      <c r="C16" s="1"/>
      <c r="D16" s="6"/>
      <c r="E16" s="1">
        <v>9000</v>
      </c>
      <c r="F16" s="1">
        <v>3500</v>
      </c>
      <c r="G16" s="6"/>
      <c r="H16" s="1"/>
      <c r="I16" s="1"/>
      <c r="J16" s="6" t="e">
        <v>#NULL!</v>
      </c>
      <c r="K16" s="1"/>
      <c r="L16" s="1"/>
      <c r="M16" s="6" t="e">
        <v>#NULL!</v>
      </c>
      <c r="N16" s="1">
        <v>9000</v>
      </c>
      <c r="O16" s="1">
        <v>3500</v>
      </c>
      <c r="P16" s="6"/>
    </row>
    <row r="17" spans="1:16" x14ac:dyDescent="0.3">
      <c r="A17" s="5" t="s">
        <v>12</v>
      </c>
      <c r="B17" s="1">
        <v>100000</v>
      </c>
      <c r="C17" s="1">
        <v>20000</v>
      </c>
      <c r="D17" s="6"/>
      <c r="E17" s="1"/>
      <c r="F17" s="1"/>
      <c r="G17" s="6" t="e">
        <v>#NULL!</v>
      </c>
      <c r="H17" s="1"/>
      <c r="I17" s="1"/>
      <c r="J17" s="6" t="e">
        <v>#NULL!</v>
      </c>
      <c r="K17" s="1">
        <v>50000</v>
      </c>
      <c r="L17" s="1">
        <v>10000</v>
      </c>
      <c r="M17" s="6"/>
      <c r="N17" s="1">
        <v>150000</v>
      </c>
      <c r="O17" s="1">
        <v>30000</v>
      </c>
      <c r="P17" s="6"/>
    </row>
    <row r="18" spans="1:16" x14ac:dyDescent="0.3">
      <c r="A18" s="5" t="s">
        <v>17</v>
      </c>
      <c r="B18" s="1">
        <v>5000</v>
      </c>
      <c r="C18" s="1">
        <v>2000</v>
      </c>
      <c r="D18" s="6"/>
      <c r="E18" s="1"/>
      <c r="F18" s="1"/>
      <c r="G18" s="6" t="e">
        <v>#NULL!</v>
      </c>
      <c r="H18" s="1"/>
      <c r="I18" s="1"/>
      <c r="J18" s="6" t="e">
        <v>#NULL!</v>
      </c>
      <c r="K18" s="1"/>
      <c r="L18" s="1"/>
      <c r="M18" s="6" t="e">
        <v>#NULL!</v>
      </c>
      <c r="N18" s="1">
        <v>5000</v>
      </c>
      <c r="O18" s="1">
        <v>2000</v>
      </c>
      <c r="P18" s="6"/>
    </row>
    <row r="19" spans="1:16" x14ac:dyDescent="0.3">
      <c r="A19" s="5" t="s">
        <v>26</v>
      </c>
      <c r="B19" s="1"/>
      <c r="C19" s="1"/>
      <c r="D19" s="6"/>
      <c r="E19" s="1"/>
      <c r="F19" s="1"/>
      <c r="G19" s="6" t="e">
        <v>#NULL!</v>
      </c>
      <c r="H19" s="1">
        <v>60000</v>
      </c>
      <c r="I19" s="1">
        <v>15000</v>
      </c>
      <c r="J19" s="6"/>
      <c r="K19" s="1"/>
      <c r="L19" s="1"/>
      <c r="M19" s="6" t="e">
        <v>#NULL!</v>
      </c>
      <c r="N19" s="1">
        <v>60000</v>
      </c>
      <c r="O19" s="1">
        <v>15000</v>
      </c>
      <c r="P19" s="6"/>
    </row>
    <row r="20" spans="1:16" x14ac:dyDescent="0.3">
      <c r="A20" s="5" t="s">
        <v>23</v>
      </c>
      <c r="B20" s="1"/>
      <c r="C20" s="1"/>
      <c r="D20" s="6"/>
      <c r="E20" s="1"/>
      <c r="F20" s="1"/>
      <c r="G20" s="6" t="e">
        <v>#NULL!</v>
      </c>
      <c r="H20" s="1">
        <v>20000</v>
      </c>
      <c r="I20" s="1">
        <v>7000</v>
      </c>
      <c r="J20" s="6"/>
      <c r="K20" s="1"/>
      <c r="L20" s="1"/>
      <c r="M20" s="6" t="e">
        <v>#NULL!</v>
      </c>
      <c r="N20" s="1">
        <v>20000</v>
      </c>
      <c r="O20" s="1">
        <v>7000</v>
      </c>
      <c r="P20" s="6"/>
    </row>
    <row r="21" spans="1:16" x14ac:dyDescent="0.3">
      <c r="A21" s="4" t="s">
        <v>22</v>
      </c>
      <c r="B21" s="1">
        <v>15000</v>
      </c>
      <c r="C21" s="1">
        <v>5000</v>
      </c>
      <c r="D21" s="6"/>
      <c r="E21" s="1">
        <v>10000</v>
      </c>
      <c r="F21" s="1">
        <v>3500</v>
      </c>
      <c r="G21" s="6">
        <v>-0.33333333333333331</v>
      </c>
      <c r="H21" s="1">
        <v>7500</v>
      </c>
      <c r="I21" s="1">
        <v>3000</v>
      </c>
      <c r="J21" s="6">
        <v>-0.25</v>
      </c>
      <c r="K21" s="1">
        <v>12000</v>
      </c>
      <c r="L21" s="1">
        <v>4000</v>
      </c>
      <c r="M21" s="6">
        <v>0.6</v>
      </c>
      <c r="N21" s="1">
        <v>44500</v>
      </c>
      <c r="O21" s="1">
        <v>15500</v>
      </c>
      <c r="P21" s="6"/>
    </row>
    <row r="22" spans="1:16" x14ac:dyDescent="0.3">
      <c r="A22" s="5" t="s">
        <v>15</v>
      </c>
      <c r="B22" s="1"/>
      <c r="C22" s="1"/>
      <c r="D22" s="6"/>
      <c r="E22" s="1"/>
      <c r="F22" s="1"/>
      <c r="G22" s="6" t="e">
        <v>#NULL!</v>
      </c>
      <c r="H22" s="1"/>
      <c r="I22" s="1"/>
      <c r="J22" s="6" t="e">
        <v>#NULL!</v>
      </c>
      <c r="K22" s="1">
        <v>12000</v>
      </c>
      <c r="L22" s="1">
        <v>4000</v>
      </c>
      <c r="M22" s="6"/>
      <c r="N22" s="1">
        <v>12000</v>
      </c>
      <c r="O22" s="1">
        <v>4000</v>
      </c>
      <c r="P22" s="6"/>
    </row>
    <row r="23" spans="1:16" x14ac:dyDescent="0.3">
      <c r="A23" s="5" t="s">
        <v>28</v>
      </c>
      <c r="B23" s="1"/>
      <c r="C23" s="1"/>
      <c r="D23" s="6"/>
      <c r="E23" s="1"/>
      <c r="F23" s="1"/>
      <c r="G23" s="6" t="e">
        <v>#NULL!</v>
      </c>
      <c r="H23" s="1">
        <v>7500</v>
      </c>
      <c r="I23" s="1">
        <v>3000</v>
      </c>
      <c r="J23" s="6"/>
      <c r="K23" s="1"/>
      <c r="L23" s="1"/>
      <c r="M23" s="6" t="e">
        <v>#NULL!</v>
      </c>
      <c r="N23" s="1">
        <v>7500</v>
      </c>
      <c r="O23" s="1">
        <v>3000</v>
      </c>
      <c r="P23" s="6"/>
    </row>
    <row r="24" spans="1:16" x14ac:dyDescent="0.3">
      <c r="A24" s="5" t="s">
        <v>20</v>
      </c>
      <c r="B24" s="1"/>
      <c r="C24" s="1"/>
      <c r="D24" s="6"/>
      <c r="E24" s="1">
        <v>10000</v>
      </c>
      <c r="F24" s="1">
        <v>3500</v>
      </c>
      <c r="G24" s="6"/>
      <c r="H24" s="1"/>
      <c r="I24" s="1"/>
      <c r="J24" s="6" t="e">
        <v>#NULL!</v>
      </c>
      <c r="K24" s="1"/>
      <c r="L24" s="1"/>
      <c r="M24" s="6" t="e">
        <v>#NULL!</v>
      </c>
      <c r="N24" s="1">
        <v>10000</v>
      </c>
      <c r="O24" s="1">
        <v>3500</v>
      </c>
      <c r="P24" s="6"/>
    </row>
    <row r="25" spans="1:16" x14ac:dyDescent="0.3">
      <c r="A25" s="5" t="s">
        <v>23</v>
      </c>
      <c r="B25" s="1">
        <v>15000</v>
      </c>
      <c r="C25" s="1">
        <v>5000</v>
      </c>
      <c r="D25" s="6"/>
      <c r="E25" s="1"/>
      <c r="F25" s="1"/>
      <c r="G25" s="6" t="e">
        <v>#NULL!</v>
      </c>
      <c r="H25" s="1"/>
      <c r="I25" s="1"/>
      <c r="J25" s="6" t="e">
        <v>#NULL!</v>
      </c>
      <c r="K25" s="1"/>
      <c r="L25" s="1"/>
      <c r="M25" s="6" t="e">
        <v>#NULL!</v>
      </c>
      <c r="N25" s="1">
        <v>15000</v>
      </c>
      <c r="O25" s="1">
        <v>5000</v>
      </c>
      <c r="P25" s="6"/>
    </row>
    <row r="26" spans="1:16" x14ac:dyDescent="0.3">
      <c r="A26" s="4" t="s">
        <v>38</v>
      </c>
      <c r="B26" s="1">
        <v>138000</v>
      </c>
      <c r="C26" s="1">
        <v>33000</v>
      </c>
      <c r="D26" s="6"/>
      <c r="E26" s="1">
        <v>159000</v>
      </c>
      <c r="F26" s="1">
        <v>40000</v>
      </c>
      <c r="G26" s="6">
        <v>0.15217391304347827</v>
      </c>
      <c r="H26" s="1">
        <v>195500</v>
      </c>
      <c r="I26" s="1">
        <v>47500</v>
      </c>
      <c r="J26" s="6">
        <v>0.22955974842767296</v>
      </c>
      <c r="K26" s="1">
        <v>184000</v>
      </c>
      <c r="L26" s="1">
        <v>46500</v>
      </c>
      <c r="M26" s="6">
        <v>-5.8823529411764705E-2</v>
      </c>
      <c r="N26" s="1">
        <v>676500</v>
      </c>
      <c r="O26" s="1">
        <v>167000</v>
      </c>
      <c r="P26"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39FA-4435-4E03-AC9E-8D95DF681F56}">
  <dimension ref="A1:C8"/>
  <sheetViews>
    <sheetView tabSelected="1" workbookViewId="0">
      <selection activeCell="C6" sqref="C6"/>
    </sheetView>
  </sheetViews>
  <sheetFormatPr defaultRowHeight="14.4" x14ac:dyDescent="0.3"/>
  <cols>
    <col min="1" max="1" width="6.21875" customWidth="1"/>
    <col min="2" max="2" width="11.6640625" customWidth="1"/>
  </cols>
  <sheetData>
    <row r="1" spans="1:3" x14ac:dyDescent="0.3">
      <c r="A1" s="7" t="s">
        <v>50</v>
      </c>
      <c r="B1" s="7" t="s">
        <v>51</v>
      </c>
    </row>
    <row r="2" spans="1:3" x14ac:dyDescent="0.3">
      <c r="A2" s="8" t="s">
        <v>52</v>
      </c>
      <c r="B2" s="8" t="s">
        <v>53</v>
      </c>
    </row>
    <row r="3" spans="1:3" ht="28.8" x14ac:dyDescent="0.3">
      <c r="A3" s="8" t="s">
        <v>54</v>
      </c>
      <c r="B3" s="8" t="s">
        <v>55</v>
      </c>
      <c r="C3">
        <f>SUM(Excel_Pivot_Power_Query_CSV_Files[revenue])</f>
        <v>676500</v>
      </c>
    </row>
    <row r="4" spans="1:3" x14ac:dyDescent="0.3">
      <c r="A4" s="8" t="s">
        <v>56</v>
      </c>
      <c r="B4" s="8" t="s">
        <v>57</v>
      </c>
      <c r="C4">
        <f>SUM(Excel_Pivot_Power_Query_CSV_Files[cost])</f>
        <v>509500</v>
      </c>
    </row>
    <row r="5" spans="1:3" x14ac:dyDescent="0.3">
      <c r="A5" s="8" t="s">
        <v>58</v>
      </c>
      <c r="B5" s="8" t="s">
        <v>59</v>
      </c>
      <c r="C5">
        <f>SUM(Excel_Pivot_Power_Query_CSV_Files[Margin])</f>
        <v>167000</v>
      </c>
    </row>
    <row r="6" spans="1:3" x14ac:dyDescent="0.3">
      <c r="A6" s="8" t="s">
        <v>60</v>
      </c>
      <c r="B6" s="8" t="s">
        <v>61</v>
      </c>
      <c r="C6">
        <f>IFERROR(B5/B3,0)</f>
        <v>0</v>
      </c>
    </row>
    <row r="7" spans="1:3" ht="28.8" x14ac:dyDescent="0.3">
      <c r="A7" s="8" t="s">
        <v>62</v>
      </c>
      <c r="B7" s="8" t="s">
        <v>63</v>
      </c>
      <c r="C7">
        <f>SUM(Excel_Pivot_Power_Query_CSV_Files[quantity])</f>
        <v>91</v>
      </c>
    </row>
    <row r="8" spans="1:3" x14ac:dyDescent="0.3">
      <c r="A8" s="8" t="s">
        <v>64</v>
      </c>
      <c r="B8" s="8" t="s">
        <v>65</v>
      </c>
      <c r="C8">
        <f>COUNTA(Excel_Pivot_Power_Query_CSV_Files[order_id])</f>
        <v>20</v>
      </c>
    </row>
  </sheetData>
  <conditionalFormatting sqref="B6">
    <cfRule type="dataBar" priority="3">
      <dataBar>
        <cfvo type="min"/>
        <cfvo type="max"/>
        <color rgb="FF638EC6"/>
      </dataBar>
      <extLst>
        <ext xmlns:x14="http://schemas.microsoft.com/office/spreadsheetml/2009/9/main" uri="{B025F937-C7B1-47D3-B67F-A62EFF666E3E}">
          <x14:id>{1F4F92F7-96C2-43E8-A0F4-B32DF6B8F3B7}</x14:id>
        </ext>
      </extLst>
    </cfRule>
    <cfRule type="colorScale" priority="2">
      <colorScale>
        <cfvo type="min"/>
        <cfvo type="max"/>
        <color rgb="FFFF7128"/>
        <color rgb="FFFFEF9C"/>
      </colorScale>
    </cfRule>
  </conditionalFormatting>
  <conditionalFormatting sqref="C6">
    <cfRule type="cellIs" priority="1" operator="lessThan">
      <formula>0.2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F4F92F7-96C2-43E8-A0F4-B32DF6B8F3B7}">
            <x14:dataBar minLength="0" maxLength="100" border="1" negativeBarBorderColorSameAsPositive="0">
              <x14:cfvo type="autoMin"/>
              <x14:cfvo type="autoMax"/>
              <x14:borderColor rgb="FF638EC6"/>
              <x14:negativeFillColor rgb="FFFF0000"/>
              <x14:negativeBorderColor rgb="FFFF0000"/>
              <x14:axisColor rgb="FF000000"/>
            </x14:dataBar>
          </x14:cfRule>
          <xm:sqref>B6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9954-DAEC-4AC9-8178-7385EA431378}">
  <dimension ref="A1:L21"/>
  <sheetViews>
    <sheetView workbookViewId="0">
      <selection activeCell="G26" sqref="G26"/>
    </sheetView>
  </sheetViews>
  <sheetFormatPr defaultRowHeight="14.4" x14ac:dyDescent="0.3"/>
  <cols>
    <col min="1" max="1" width="14.5546875" bestFit="1" customWidth="1"/>
    <col min="2" max="2" width="10.109375" bestFit="1" customWidth="1"/>
    <col min="3" max="3" width="11.109375" bestFit="1" customWidth="1"/>
    <col min="4" max="4" width="8.33203125" bestFit="1" customWidth="1"/>
    <col min="5" max="5" width="9.77734375" bestFit="1" customWidth="1"/>
    <col min="6" max="6" width="10.109375" bestFit="1" customWidth="1"/>
    <col min="7" max="7" width="9.77734375" bestFit="1" customWidth="1"/>
    <col min="8" max="8" width="6.77734375" bestFit="1" customWidth="1"/>
    <col min="9" max="9" width="12.21875" bestFit="1" customWidth="1"/>
    <col min="11" max="11" width="11.33203125" bestFit="1" customWidth="1"/>
    <col min="12" max="12" width="9.33203125" bestFit="1" customWidth="1"/>
  </cols>
  <sheetData>
    <row r="1" spans="1:12" x14ac:dyDescent="0.3">
      <c r="A1" t="s">
        <v>0</v>
      </c>
      <c r="B1" t="s">
        <v>1</v>
      </c>
      <c r="C1" t="s">
        <v>2</v>
      </c>
      <c r="D1" t="s">
        <v>3</v>
      </c>
      <c r="E1" t="s">
        <v>4</v>
      </c>
      <c r="F1" t="s">
        <v>5</v>
      </c>
      <c r="G1" t="s">
        <v>6</v>
      </c>
      <c r="H1" t="s">
        <v>7</v>
      </c>
      <c r="I1" t="s">
        <v>8</v>
      </c>
      <c r="J1" t="s">
        <v>34</v>
      </c>
      <c r="K1" t="s">
        <v>35</v>
      </c>
      <c r="L1" t="s">
        <v>36</v>
      </c>
    </row>
    <row r="2" spans="1:12" x14ac:dyDescent="0.3">
      <c r="A2" s="1" t="s">
        <v>9</v>
      </c>
      <c r="B2">
        <v>1</v>
      </c>
      <c r="C2" s="1" t="s">
        <v>10</v>
      </c>
      <c r="D2" s="1" t="s">
        <v>11</v>
      </c>
      <c r="E2" s="1" t="s">
        <v>12</v>
      </c>
      <c r="F2">
        <v>2</v>
      </c>
      <c r="G2">
        <v>100000</v>
      </c>
      <c r="H2">
        <v>80000</v>
      </c>
      <c r="I2" s="2">
        <v>46027</v>
      </c>
      <c r="J2">
        <f>Excel_Pivot_Power_Query_CSV_Files[[#This Row],[revenue]]-Excel_Pivot_Power_Query_CSV_Files[[#This Row],[cost]]</f>
        <v>20000</v>
      </c>
      <c r="K2">
        <f>IFERROR(Excel_Pivot_Power_Query_CSV_Files[[#This Row],[Margin]]/Excel_Pivot_Power_Query_CSV_Files[[#This Row],[revenue]],0)</f>
        <v>0.2</v>
      </c>
      <c r="L2" t="str">
        <f t="shared" ref="L2:L21" si="0">"Q"&amp;ROUNDUP(MONTH(I2)/3,0)</f>
        <v>Q1</v>
      </c>
    </row>
    <row r="3" spans="1:12" x14ac:dyDescent="0.3">
      <c r="A3" s="1" t="s">
        <v>9</v>
      </c>
      <c r="B3">
        <v>2</v>
      </c>
      <c r="C3" s="1" t="s">
        <v>13</v>
      </c>
      <c r="D3" s="1" t="s">
        <v>14</v>
      </c>
      <c r="E3" s="1" t="s">
        <v>15</v>
      </c>
      <c r="F3">
        <v>5</v>
      </c>
      <c r="G3">
        <v>10000</v>
      </c>
      <c r="H3">
        <v>7000</v>
      </c>
      <c r="I3" s="2">
        <v>46034</v>
      </c>
      <c r="J3">
        <f>Excel_Pivot_Power_Query_CSV_Files[[#This Row],[revenue]]-Excel_Pivot_Power_Query_CSV_Files[[#This Row],[cost]]</f>
        <v>3000</v>
      </c>
      <c r="K3">
        <f>IFERROR(Excel_Pivot_Power_Query_CSV_Files[[#This Row],[Margin]]/Excel_Pivot_Power_Query_CSV_Files[[#This Row],[revenue]],0)</f>
        <v>0.3</v>
      </c>
      <c r="L3" t="str">
        <f t="shared" si="0"/>
        <v>Q1</v>
      </c>
    </row>
    <row r="4" spans="1:12" x14ac:dyDescent="0.3">
      <c r="A4" s="1" t="s">
        <v>9</v>
      </c>
      <c r="B4">
        <v>3</v>
      </c>
      <c r="C4" s="1" t="s">
        <v>16</v>
      </c>
      <c r="D4" s="1" t="s">
        <v>11</v>
      </c>
      <c r="E4" s="1" t="s">
        <v>17</v>
      </c>
      <c r="F4">
        <v>10</v>
      </c>
      <c r="G4">
        <v>5000</v>
      </c>
      <c r="H4">
        <v>3000</v>
      </c>
      <c r="I4" s="2">
        <v>46056</v>
      </c>
      <c r="J4">
        <f>Excel_Pivot_Power_Query_CSV_Files[[#This Row],[revenue]]-Excel_Pivot_Power_Query_CSV_Files[[#This Row],[cost]]</f>
        <v>2000</v>
      </c>
      <c r="K4">
        <f>IFERROR(Excel_Pivot_Power_Query_CSV_Files[[#This Row],[Margin]]/Excel_Pivot_Power_Query_CSV_Files[[#This Row],[revenue]],0)</f>
        <v>0.4</v>
      </c>
      <c r="L4" t="str">
        <f t="shared" si="0"/>
        <v>Q1</v>
      </c>
    </row>
    <row r="5" spans="1:12" x14ac:dyDescent="0.3">
      <c r="A5" s="1" t="s">
        <v>9</v>
      </c>
      <c r="B5">
        <v>4</v>
      </c>
      <c r="C5" s="1" t="s">
        <v>18</v>
      </c>
      <c r="D5" s="1" t="s">
        <v>19</v>
      </c>
      <c r="E5" s="1" t="s">
        <v>20</v>
      </c>
      <c r="F5">
        <v>8</v>
      </c>
      <c r="G5">
        <v>8000</v>
      </c>
      <c r="H5">
        <v>5000</v>
      </c>
      <c r="I5" s="2">
        <v>46068</v>
      </c>
      <c r="J5">
        <f>Excel_Pivot_Power_Query_CSV_Files[[#This Row],[revenue]]-Excel_Pivot_Power_Query_CSV_Files[[#This Row],[cost]]</f>
        <v>3000</v>
      </c>
      <c r="K5">
        <f>IFERROR(Excel_Pivot_Power_Query_CSV_Files[[#This Row],[Margin]]/Excel_Pivot_Power_Query_CSV_Files[[#This Row],[revenue]],0)</f>
        <v>0.375</v>
      </c>
      <c r="L5" t="str">
        <f t="shared" si="0"/>
        <v>Q1</v>
      </c>
    </row>
    <row r="6" spans="1:12" x14ac:dyDescent="0.3">
      <c r="A6" s="1" t="s">
        <v>9</v>
      </c>
      <c r="B6">
        <v>5</v>
      </c>
      <c r="C6" s="1" t="s">
        <v>21</v>
      </c>
      <c r="D6" s="1" t="s">
        <v>22</v>
      </c>
      <c r="E6" s="1" t="s">
        <v>23</v>
      </c>
      <c r="F6">
        <v>3</v>
      </c>
      <c r="G6">
        <v>15000</v>
      </c>
      <c r="H6">
        <v>10000</v>
      </c>
      <c r="I6" s="2">
        <v>46089</v>
      </c>
      <c r="J6">
        <f>Excel_Pivot_Power_Query_CSV_Files[[#This Row],[revenue]]-Excel_Pivot_Power_Query_CSV_Files[[#This Row],[cost]]</f>
        <v>5000</v>
      </c>
      <c r="K6">
        <f>IFERROR(Excel_Pivot_Power_Query_CSV_Files[[#This Row],[Margin]]/Excel_Pivot_Power_Query_CSV_Files[[#This Row],[revenue]],0)</f>
        <v>0.33333333333333331</v>
      </c>
      <c r="L6" t="str">
        <f t="shared" si="0"/>
        <v>Q1</v>
      </c>
    </row>
    <row r="7" spans="1:12" x14ac:dyDescent="0.3">
      <c r="A7" s="1" t="s">
        <v>24</v>
      </c>
      <c r="B7">
        <v>6</v>
      </c>
      <c r="C7" s="1" t="s">
        <v>25</v>
      </c>
      <c r="D7" s="1" t="s">
        <v>14</v>
      </c>
      <c r="E7" s="1" t="s">
        <v>26</v>
      </c>
      <c r="F7">
        <v>4</v>
      </c>
      <c r="G7">
        <v>80000</v>
      </c>
      <c r="H7">
        <v>60000</v>
      </c>
      <c r="I7" s="2">
        <v>46122</v>
      </c>
      <c r="J7">
        <f>Excel_Pivot_Power_Query_CSV_Files[[#This Row],[revenue]]-Excel_Pivot_Power_Query_CSV_Files[[#This Row],[cost]]</f>
        <v>20000</v>
      </c>
      <c r="K7">
        <f>IFERROR(Excel_Pivot_Power_Query_CSV_Files[[#This Row],[Margin]]/Excel_Pivot_Power_Query_CSV_Files[[#This Row],[revenue]],0)</f>
        <v>0.25</v>
      </c>
      <c r="L7" t="str">
        <f t="shared" si="0"/>
        <v>Q2</v>
      </c>
    </row>
    <row r="8" spans="1:12" x14ac:dyDescent="0.3">
      <c r="A8" s="1" t="s">
        <v>24</v>
      </c>
      <c r="B8">
        <v>7</v>
      </c>
      <c r="C8" s="1" t="s">
        <v>27</v>
      </c>
      <c r="D8" s="1" t="s">
        <v>11</v>
      </c>
      <c r="E8" s="1" t="s">
        <v>28</v>
      </c>
      <c r="F8">
        <v>6</v>
      </c>
      <c r="G8">
        <v>9000</v>
      </c>
      <c r="H8">
        <v>5500</v>
      </c>
      <c r="I8" s="2">
        <v>46132</v>
      </c>
      <c r="J8">
        <f>Excel_Pivot_Power_Query_CSV_Files[[#This Row],[revenue]]-Excel_Pivot_Power_Query_CSV_Files[[#This Row],[cost]]</f>
        <v>3500</v>
      </c>
      <c r="K8">
        <f>IFERROR(Excel_Pivot_Power_Query_CSV_Files[[#This Row],[Margin]]/Excel_Pivot_Power_Query_CSV_Files[[#This Row],[revenue]],0)</f>
        <v>0.3888888888888889</v>
      </c>
      <c r="L8" t="str">
        <f t="shared" si="0"/>
        <v>Q2</v>
      </c>
    </row>
    <row r="9" spans="1:12" x14ac:dyDescent="0.3">
      <c r="A9" s="1" t="s">
        <v>24</v>
      </c>
      <c r="B9">
        <v>8</v>
      </c>
      <c r="C9" s="1" t="s">
        <v>29</v>
      </c>
      <c r="D9" s="1" t="s">
        <v>19</v>
      </c>
      <c r="E9" s="1" t="s">
        <v>12</v>
      </c>
      <c r="F9">
        <v>1</v>
      </c>
      <c r="G9">
        <v>50000</v>
      </c>
      <c r="H9">
        <v>40000</v>
      </c>
      <c r="I9" s="2">
        <v>46147</v>
      </c>
      <c r="J9">
        <f>Excel_Pivot_Power_Query_CSV_Files[[#This Row],[revenue]]-Excel_Pivot_Power_Query_CSV_Files[[#This Row],[cost]]</f>
        <v>10000</v>
      </c>
      <c r="K9">
        <f>IFERROR(Excel_Pivot_Power_Query_CSV_Files[[#This Row],[Margin]]/Excel_Pivot_Power_Query_CSV_Files[[#This Row],[revenue]],0)</f>
        <v>0.2</v>
      </c>
      <c r="L9" t="str">
        <f t="shared" si="0"/>
        <v>Q2</v>
      </c>
    </row>
    <row r="10" spans="1:12" x14ac:dyDescent="0.3">
      <c r="A10" s="1" t="s">
        <v>24</v>
      </c>
      <c r="B10">
        <v>9</v>
      </c>
      <c r="C10" s="1" t="s">
        <v>30</v>
      </c>
      <c r="D10" s="1" t="s">
        <v>22</v>
      </c>
      <c r="E10" s="1" t="s">
        <v>20</v>
      </c>
      <c r="F10">
        <v>10</v>
      </c>
      <c r="G10">
        <v>10000</v>
      </c>
      <c r="H10">
        <v>6500</v>
      </c>
      <c r="I10" s="2">
        <v>46160</v>
      </c>
      <c r="J10">
        <f>Excel_Pivot_Power_Query_CSV_Files[[#This Row],[revenue]]-Excel_Pivot_Power_Query_CSV_Files[[#This Row],[cost]]</f>
        <v>3500</v>
      </c>
      <c r="K10">
        <f>IFERROR(Excel_Pivot_Power_Query_CSV_Files[[#This Row],[Margin]]/Excel_Pivot_Power_Query_CSV_Files[[#This Row],[revenue]],0)</f>
        <v>0.35</v>
      </c>
      <c r="L10" t="str">
        <f t="shared" si="0"/>
        <v>Q2</v>
      </c>
    </row>
    <row r="11" spans="1:12" x14ac:dyDescent="0.3">
      <c r="A11" s="1" t="s">
        <v>24</v>
      </c>
      <c r="B11">
        <v>10</v>
      </c>
      <c r="C11" s="1" t="s">
        <v>31</v>
      </c>
      <c r="D11" s="1" t="s">
        <v>14</v>
      </c>
      <c r="E11" s="1" t="s">
        <v>23</v>
      </c>
      <c r="F11">
        <v>2</v>
      </c>
      <c r="G11">
        <v>10000</v>
      </c>
      <c r="H11">
        <v>7000</v>
      </c>
      <c r="I11" s="2">
        <v>46178</v>
      </c>
      <c r="J11">
        <f>Excel_Pivot_Power_Query_CSV_Files[[#This Row],[revenue]]-Excel_Pivot_Power_Query_CSV_Files[[#This Row],[cost]]</f>
        <v>3000</v>
      </c>
      <c r="K11">
        <f>IFERROR(Excel_Pivot_Power_Query_CSV_Files[[#This Row],[Margin]]/Excel_Pivot_Power_Query_CSV_Files[[#This Row],[revenue]],0)</f>
        <v>0.3</v>
      </c>
      <c r="L11" t="str">
        <f t="shared" si="0"/>
        <v>Q2</v>
      </c>
    </row>
    <row r="12" spans="1:12" x14ac:dyDescent="0.3">
      <c r="A12" s="1" t="s">
        <v>32</v>
      </c>
      <c r="B12">
        <v>11</v>
      </c>
      <c r="C12" s="1" t="s">
        <v>10</v>
      </c>
      <c r="D12" s="1" t="s">
        <v>11</v>
      </c>
      <c r="E12" s="1" t="s">
        <v>26</v>
      </c>
      <c r="F12">
        <v>3</v>
      </c>
      <c r="G12">
        <v>60000</v>
      </c>
      <c r="H12">
        <v>45000</v>
      </c>
      <c r="I12" s="2">
        <v>46211</v>
      </c>
      <c r="J12">
        <f>Excel_Pivot_Power_Query_CSV_Files[[#This Row],[revenue]]-Excel_Pivot_Power_Query_CSV_Files[[#This Row],[cost]]</f>
        <v>15000</v>
      </c>
      <c r="K12">
        <f>IFERROR(Excel_Pivot_Power_Query_CSV_Files[[#This Row],[Margin]]/Excel_Pivot_Power_Query_CSV_Files[[#This Row],[revenue]],0)</f>
        <v>0.25</v>
      </c>
      <c r="L12" t="str">
        <f t="shared" si="0"/>
        <v>Q3</v>
      </c>
    </row>
    <row r="13" spans="1:12" x14ac:dyDescent="0.3">
      <c r="A13" s="1" t="s">
        <v>32</v>
      </c>
      <c r="B13">
        <v>12</v>
      </c>
      <c r="C13" s="1" t="s">
        <v>13</v>
      </c>
      <c r="D13" s="1" t="s">
        <v>14</v>
      </c>
      <c r="E13" s="1" t="s">
        <v>12</v>
      </c>
      <c r="F13">
        <v>2</v>
      </c>
      <c r="G13">
        <v>100000</v>
      </c>
      <c r="H13">
        <v>80000</v>
      </c>
      <c r="I13" s="2">
        <v>46223</v>
      </c>
      <c r="J13">
        <f>Excel_Pivot_Power_Query_CSV_Files[[#This Row],[revenue]]-Excel_Pivot_Power_Query_CSV_Files[[#This Row],[cost]]</f>
        <v>20000</v>
      </c>
      <c r="K13">
        <f>IFERROR(Excel_Pivot_Power_Query_CSV_Files[[#This Row],[Margin]]/Excel_Pivot_Power_Query_CSV_Files[[#This Row],[revenue]],0)</f>
        <v>0.2</v>
      </c>
      <c r="L13" t="str">
        <f t="shared" si="0"/>
        <v>Q3</v>
      </c>
    </row>
    <row r="14" spans="1:12" x14ac:dyDescent="0.3">
      <c r="A14" s="1" t="s">
        <v>32</v>
      </c>
      <c r="B14">
        <v>13</v>
      </c>
      <c r="C14" s="1" t="s">
        <v>16</v>
      </c>
      <c r="D14" s="1" t="s">
        <v>19</v>
      </c>
      <c r="E14" s="1" t="s">
        <v>15</v>
      </c>
      <c r="F14">
        <v>4</v>
      </c>
      <c r="G14">
        <v>8000</v>
      </c>
      <c r="H14">
        <v>5500</v>
      </c>
      <c r="I14" s="2">
        <v>46237</v>
      </c>
      <c r="J14">
        <f>Excel_Pivot_Power_Query_CSV_Files[[#This Row],[revenue]]-Excel_Pivot_Power_Query_CSV_Files[[#This Row],[cost]]</f>
        <v>2500</v>
      </c>
      <c r="K14">
        <f>IFERROR(Excel_Pivot_Power_Query_CSV_Files[[#This Row],[Margin]]/Excel_Pivot_Power_Query_CSV_Files[[#This Row],[revenue]],0)</f>
        <v>0.3125</v>
      </c>
      <c r="L14" t="str">
        <f t="shared" si="0"/>
        <v>Q3</v>
      </c>
    </row>
    <row r="15" spans="1:12" x14ac:dyDescent="0.3">
      <c r="A15" s="1" t="s">
        <v>32</v>
      </c>
      <c r="B15">
        <v>14</v>
      </c>
      <c r="C15" s="1" t="s">
        <v>18</v>
      </c>
      <c r="D15" s="1" t="s">
        <v>22</v>
      </c>
      <c r="E15" s="1" t="s">
        <v>28</v>
      </c>
      <c r="F15">
        <v>5</v>
      </c>
      <c r="G15">
        <v>7500</v>
      </c>
      <c r="H15">
        <v>4500</v>
      </c>
      <c r="I15" s="2">
        <v>46249</v>
      </c>
      <c r="J15">
        <f>Excel_Pivot_Power_Query_CSV_Files[[#This Row],[revenue]]-Excel_Pivot_Power_Query_CSV_Files[[#This Row],[cost]]</f>
        <v>3000</v>
      </c>
      <c r="K15">
        <f>IFERROR(Excel_Pivot_Power_Query_CSV_Files[[#This Row],[Margin]]/Excel_Pivot_Power_Query_CSV_Files[[#This Row],[revenue]],0)</f>
        <v>0.4</v>
      </c>
      <c r="L15" t="str">
        <f t="shared" si="0"/>
        <v>Q3</v>
      </c>
    </row>
    <row r="16" spans="1:12" x14ac:dyDescent="0.3">
      <c r="A16" s="1" t="s">
        <v>32</v>
      </c>
      <c r="B16">
        <v>15</v>
      </c>
      <c r="C16" s="1" t="s">
        <v>21</v>
      </c>
      <c r="D16" s="1" t="s">
        <v>11</v>
      </c>
      <c r="E16" s="1" t="s">
        <v>23</v>
      </c>
      <c r="F16">
        <v>4</v>
      </c>
      <c r="G16">
        <v>20000</v>
      </c>
      <c r="H16">
        <v>13000</v>
      </c>
      <c r="I16" s="2">
        <v>46275</v>
      </c>
      <c r="J16">
        <f>Excel_Pivot_Power_Query_CSV_Files[[#This Row],[revenue]]-Excel_Pivot_Power_Query_CSV_Files[[#This Row],[cost]]</f>
        <v>7000</v>
      </c>
      <c r="K16">
        <f>IFERROR(Excel_Pivot_Power_Query_CSV_Files[[#This Row],[Margin]]/Excel_Pivot_Power_Query_CSV_Files[[#This Row],[revenue]],0)</f>
        <v>0.35</v>
      </c>
      <c r="L16" t="str">
        <f t="shared" si="0"/>
        <v>Q3</v>
      </c>
    </row>
    <row r="17" spans="1:12" x14ac:dyDescent="0.3">
      <c r="A17" s="1" t="s">
        <v>33</v>
      </c>
      <c r="B17">
        <v>16</v>
      </c>
      <c r="C17" s="1" t="s">
        <v>25</v>
      </c>
      <c r="D17" s="1" t="s">
        <v>14</v>
      </c>
      <c r="E17" s="1" t="s">
        <v>26</v>
      </c>
      <c r="F17">
        <v>5</v>
      </c>
      <c r="G17">
        <v>100000</v>
      </c>
      <c r="H17">
        <v>75000</v>
      </c>
      <c r="I17" s="2">
        <v>46300</v>
      </c>
      <c r="J17">
        <f>Excel_Pivot_Power_Query_CSV_Files[[#This Row],[revenue]]-Excel_Pivot_Power_Query_CSV_Files[[#This Row],[cost]]</f>
        <v>25000</v>
      </c>
      <c r="K17">
        <f>IFERROR(Excel_Pivot_Power_Query_CSV_Files[[#This Row],[Margin]]/Excel_Pivot_Power_Query_CSV_Files[[#This Row],[revenue]],0)</f>
        <v>0.25</v>
      </c>
      <c r="L17" t="str">
        <f t="shared" si="0"/>
        <v>Q4</v>
      </c>
    </row>
    <row r="18" spans="1:12" x14ac:dyDescent="0.3">
      <c r="A18" s="1" t="s">
        <v>33</v>
      </c>
      <c r="B18">
        <v>17</v>
      </c>
      <c r="C18" s="1" t="s">
        <v>27</v>
      </c>
      <c r="D18" s="1" t="s">
        <v>11</v>
      </c>
      <c r="E18" s="1" t="s">
        <v>12</v>
      </c>
      <c r="F18">
        <v>1</v>
      </c>
      <c r="G18">
        <v>50000</v>
      </c>
      <c r="H18">
        <v>40000</v>
      </c>
      <c r="I18" s="2">
        <v>46313</v>
      </c>
      <c r="J18">
        <f>Excel_Pivot_Power_Query_CSV_Files[[#This Row],[revenue]]-Excel_Pivot_Power_Query_CSV_Files[[#This Row],[cost]]</f>
        <v>10000</v>
      </c>
      <c r="K18">
        <f>IFERROR(Excel_Pivot_Power_Query_CSV_Files[[#This Row],[Margin]]/Excel_Pivot_Power_Query_CSV_Files[[#This Row],[revenue]],0)</f>
        <v>0.2</v>
      </c>
      <c r="L18" t="str">
        <f t="shared" si="0"/>
        <v>Q4</v>
      </c>
    </row>
    <row r="19" spans="1:12" x14ac:dyDescent="0.3">
      <c r="A19" s="1" t="s">
        <v>33</v>
      </c>
      <c r="B19">
        <v>18</v>
      </c>
      <c r="C19" s="1" t="s">
        <v>29</v>
      </c>
      <c r="D19" s="1" t="s">
        <v>19</v>
      </c>
      <c r="E19" s="1" t="s">
        <v>20</v>
      </c>
      <c r="F19">
        <v>7</v>
      </c>
      <c r="G19">
        <v>7000</v>
      </c>
      <c r="H19">
        <v>4500</v>
      </c>
      <c r="I19" s="2">
        <v>46328</v>
      </c>
      <c r="J19">
        <f>Excel_Pivot_Power_Query_CSV_Files[[#This Row],[revenue]]-Excel_Pivot_Power_Query_CSV_Files[[#This Row],[cost]]</f>
        <v>2500</v>
      </c>
      <c r="K19">
        <f>IFERROR(Excel_Pivot_Power_Query_CSV_Files[[#This Row],[Margin]]/Excel_Pivot_Power_Query_CSV_Files[[#This Row],[revenue]],0)</f>
        <v>0.35714285714285715</v>
      </c>
      <c r="L19" t="str">
        <f t="shared" si="0"/>
        <v>Q4</v>
      </c>
    </row>
    <row r="20" spans="1:12" x14ac:dyDescent="0.3">
      <c r="A20" s="1" t="s">
        <v>33</v>
      </c>
      <c r="B20">
        <v>19</v>
      </c>
      <c r="C20" s="1" t="s">
        <v>30</v>
      </c>
      <c r="D20" s="1" t="s">
        <v>22</v>
      </c>
      <c r="E20" s="1" t="s">
        <v>15</v>
      </c>
      <c r="F20">
        <v>6</v>
      </c>
      <c r="G20">
        <v>12000</v>
      </c>
      <c r="H20">
        <v>8000</v>
      </c>
      <c r="I20" s="2">
        <v>46341</v>
      </c>
      <c r="J20">
        <f>Excel_Pivot_Power_Query_CSV_Files[[#This Row],[revenue]]-Excel_Pivot_Power_Query_CSV_Files[[#This Row],[cost]]</f>
        <v>4000</v>
      </c>
      <c r="K20">
        <f>IFERROR(Excel_Pivot_Power_Query_CSV_Files[[#This Row],[Margin]]/Excel_Pivot_Power_Query_CSV_Files[[#This Row],[revenue]],0)</f>
        <v>0.33333333333333331</v>
      </c>
      <c r="L20" t="str">
        <f t="shared" si="0"/>
        <v>Q4</v>
      </c>
    </row>
    <row r="21" spans="1:12" x14ac:dyDescent="0.3">
      <c r="A21" s="1" t="s">
        <v>33</v>
      </c>
      <c r="B21">
        <v>20</v>
      </c>
      <c r="C21" s="1" t="s">
        <v>31</v>
      </c>
      <c r="D21" s="1" t="s">
        <v>14</v>
      </c>
      <c r="E21" s="1" t="s">
        <v>23</v>
      </c>
      <c r="F21">
        <v>3</v>
      </c>
      <c r="G21">
        <v>15000</v>
      </c>
      <c r="H21">
        <v>10000</v>
      </c>
      <c r="I21" s="2">
        <v>46361</v>
      </c>
      <c r="J21">
        <f>Excel_Pivot_Power_Query_CSV_Files[[#This Row],[revenue]]-Excel_Pivot_Power_Query_CSV_Files[[#This Row],[cost]]</f>
        <v>5000</v>
      </c>
      <c r="K21">
        <f>IFERROR(Excel_Pivot_Power_Query_CSV_Files[[#This Row],[Margin]]/Excel_Pivot_Power_Query_CSV_Files[[#This Row],[revenue]],0)</f>
        <v>0.33333333333333331</v>
      </c>
      <c r="L21" t="str">
        <f t="shared" si="0"/>
        <v>Q4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4BCE43-8AD8-469F-AF7D-DF0D380632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Revenue Pivot</vt:lpstr>
      <vt:lpstr>KPI Summary</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chindi</dc:creator>
  <cp:lastModifiedBy>chinmay chindi</cp:lastModifiedBy>
  <dcterms:created xsi:type="dcterms:W3CDTF">2026-09-18T07:50:57Z</dcterms:created>
  <dcterms:modified xsi:type="dcterms:W3CDTF">2026-09-18T08:51:50Z</dcterms:modified>
</cp:coreProperties>
</file>